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extraspace-my.sharepoint.com/personal/louisver_extraspaceasia_com/Documents/"/>
    </mc:Choice>
  </mc:AlternateContent>
  <xr:revisionPtr revIDLastSave="5883" documentId="8_{17EABA81-4A6B-4275-917A-D9BE496B5424}" xr6:coauthVersionLast="47" xr6:coauthVersionMax="47" xr10:uidLastSave="{E349D22B-A653-4616-B4C9-A2B64DDFF2C3}"/>
  <bookViews>
    <workbookView xWindow="-120" yWindow="-120" windowWidth="29040" windowHeight="15720" firstSheet="1" activeTab="2" xr2:uid="{00000000-000D-0000-FFFF-FFFF00000000}"/>
  </bookViews>
  <sheets>
    <sheet name="Claude Log" sheetId="25" r:id="rId1"/>
    <sheet name="SiteConfig" sheetId="26" r:id="rId2"/>
    <sheet name="Master" sheetId="13" r:id="rId3"/>
    <sheet name="WDL" sheetId="1" r:id="rId4"/>
    <sheet name="TPY" sheetId="2" r:id="rId5"/>
    <sheet name="BKR" sheetId="3" r:id="rId6"/>
    <sheet name="CW" sheetId="4" r:id="rId7"/>
    <sheet name="HV" sheetId="5" r:id="rId8"/>
    <sheet name="IMM" sheetId="8" r:id="rId9"/>
    <sheet name="WC" sheetId="9" r:id="rId10"/>
    <sheet name="ELK" sheetId="11" r:id="rId11"/>
    <sheet name="AMK" sheetId="10" r:id="rId12"/>
    <sheet name="MMR" sheetId="6" r:id="rId13"/>
    <sheet name="TS" sheetId="7" r:id="rId14"/>
    <sheet name="KWY" sheetId="12" r:id="rId15"/>
    <sheet name="YJ" sheetId="14" r:id="rId16"/>
    <sheet name="BD" sheetId="15" r:id="rId17"/>
    <sheet name="AGJ" sheetId="16" r:id="rId18"/>
    <sheet name="GS" sheetId="17" r:id="rId19"/>
    <sheet name="YDP" sheetId="18" r:id="rId20"/>
    <sheet name="YS" sheetId="19" r:id="rId21"/>
    <sheet name="BP" sheetId="20" r:id="rId22"/>
    <sheet name="CSL" sheetId="21" r:id="rId23"/>
    <sheet name="SEG" sheetId="22" r:id="rId24"/>
    <sheet name="S51" sheetId="23" r:id="rId25"/>
    <sheet name="KD" sheetId="24" r:id="rId26"/>
  </sheets>
  <definedNames>
    <definedName name="_xlnm._FilterDatabase" localSheetId="2" hidden="1">Master!$A$4:$J$200</definedName>
    <definedName name="L_Adjust">#REF!</definedName>
    <definedName name="L_AJE_Tot">#REF!</definedName>
    <definedName name="L_CY_Beg">#REF!</definedName>
    <definedName name="L_CY_End">#REF!</definedName>
    <definedName name="L_PY_End">#REF!</definedName>
    <definedName name="L_RJE_Tot">#REF!</definedName>
    <definedName name="_xlnm.Print_Area">#REF!</definedName>
    <definedName name="S_Adjust_Data">#REF!</definedName>
    <definedName name="S_AJE_Tot_Data">#REF!</definedName>
    <definedName name="S_CY_Beg_Data">#REF!</definedName>
    <definedName name="S_CY_End_Data">#REF!</definedName>
    <definedName name="S_PY_End_Data">#REF!</definedName>
    <definedName name="S_RJE_Tot_Data">#REF!</definedName>
    <definedName name="TextRefCopy201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4" i="13" l="1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5" i="13"/>
</calcChain>
</file>

<file path=xl/sharedStrings.xml><?xml version="1.0" encoding="utf-8"?>
<sst xmlns="http://schemas.openxmlformats.org/spreadsheetml/2006/main" count="2672" uniqueCount="367">
  <si>
    <t>Internal Name</t>
  </si>
  <si>
    <t>S/N</t>
  </si>
  <si>
    <t>UNITS Name Range</t>
  </si>
  <si>
    <t>STORAGE TYPE</t>
  </si>
  <si>
    <t>Climate Type</t>
  </si>
  <si>
    <t>DEHUMIDIFER</t>
  </si>
  <si>
    <t>NOKE</t>
  </si>
  <si>
    <t>YES / NO</t>
  </si>
  <si>
    <t>WDL</t>
  </si>
  <si>
    <t>A3002</t>
  </si>
  <si>
    <t>TO</t>
  </si>
  <si>
    <t>A3076</t>
  </si>
  <si>
    <t>AIR-CON</t>
  </si>
  <si>
    <t>YES</t>
  </si>
  <si>
    <t>NO</t>
  </si>
  <si>
    <t>A4200</t>
  </si>
  <si>
    <t>A4217</t>
  </si>
  <si>
    <t>A4300</t>
  </si>
  <si>
    <t>A4314</t>
  </si>
  <si>
    <t>NON AIR-CON</t>
  </si>
  <si>
    <t>A4500</t>
  </si>
  <si>
    <t>A4518</t>
  </si>
  <si>
    <t>A4000</t>
  </si>
  <si>
    <t>A4049</t>
  </si>
  <si>
    <t>A4100</t>
  </si>
  <si>
    <t>A4113</t>
  </si>
  <si>
    <t>TPY</t>
  </si>
  <si>
    <t>A2001</t>
  </si>
  <si>
    <t>A2102</t>
  </si>
  <si>
    <t>W2001</t>
  </si>
  <si>
    <t>W2098</t>
  </si>
  <si>
    <t>W or WL</t>
  </si>
  <si>
    <t>Refrigerated</t>
  </si>
  <si>
    <t>S2201</t>
  </si>
  <si>
    <t>S2272</t>
  </si>
  <si>
    <t>Non AIR-CON</t>
  </si>
  <si>
    <t>S3000</t>
  </si>
  <si>
    <t>S3087</t>
  </si>
  <si>
    <t>A30001</t>
  </si>
  <si>
    <t>A30117</t>
  </si>
  <si>
    <t>S4001</t>
  </si>
  <si>
    <t>S4022</t>
  </si>
  <si>
    <t>S5001</t>
  </si>
  <si>
    <t>S5163</t>
  </si>
  <si>
    <t>S6001</t>
  </si>
  <si>
    <t>S6179</t>
  </si>
  <si>
    <t>BKR</t>
  </si>
  <si>
    <t>W1121</t>
  </si>
  <si>
    <t>W1563</t>
  </si>
  <si>
    <t>Climate Controlled</t>
  </si>
  <si>
    <t>A3000</t>
  </si>
  <si>
    <t>A3066</t>
  </si>
  <si>
    <t>W3001</t>
  </si>
  <si>
    <t>W3071</t>
  </si>
  <si>
    <t>W4001</t>
  </si>
  <si>
    <t>W4061</t>
  </si>
  <si>
    <t>5000C</t>
  </si>
  <si>
    <t>A5000</t>
  </si>
  <si>
    <t>A5062</t>
  </si>
  <si>
    <t>5000D</t>
  </si>
  <si>
    <t>5000V</t>
  </si>
  <si>
    <t>W5179</t>
  </si>
  <si>
    <t>W5308</t>
  </si>
  <si>
    <t>7097G</t>
  </si>
  <si>
    <t>A7001</t>
  </si>
  <si>
    <t>A7090</t>
  </si>
  <si>
    <t>W7001</t>
  </si>
  <si>
    <t>W7071</t>
  </si>
  <si>
    <t>CW</t>
  </si>
  <si>
    <t>A1100</t>
  </si>
  <si>
    <t>To</t>
  </si>
  <si>
    <t>A1142</t>
  </si>
  <si>
    <t>Executive</t>
  </si>
  <si>
    <t>Aircon</t>
  </si>
  <si>
    <t>No</t>
  </si>
  <si>
    <t>Yes</t>
  </si>
  <si>
    <t>A1800</t>
  </si>
  <si>
    <t>A1833</t>
  </si>
  <si>
    <t>A2100</t>
  </si>
  <si>
    <t>A2157</t>
  </si>
  <si>
    <t>A2700</t>
  </si>
  <si>
    <t>A2743</t>
  </si>
  <si>
    <t>Entrance Only</t>
  </si>
  <si>
    <t>A2800</t>
  </si>
  <si>
    <t>A2866</t>
  </si>
  <si>
    <t>A2900</t>
  </si>
  <si>
    <t>A2977</t>
  </si>
  <si>
    <t>A3300</t>
  </si>
  <si>
    <t>A3337</t>
  </si>
  <si>
    <t>A3800</t>
  </si>
  <si>
    <t>A3860</t>
  </si>
  <si>
    <t>W1600</t>
  </si>
  <si>
    <t>W1737</t>
  </si>
  <si>
    <t>Wine</t>
  </si>
  <si>
    <t>W1800</t>
  </si>
  <si>
    <t>W1902</t>
  </si>
  <si>
    <t>HV</t>
  </si>
  <si>
    <t>Non-Aircon</t>
  </si>
  <si>
    <t>A4569</t>
  </si>
  <si>
    <t>A4700</t>
  </si>
  <si>
    <t>A4744</t>
  </si>
  <si>
    <t>A8200</t>
  </si>
  <si>
    <t>A8267</t>
  </si>
  <si>
    <t>IMM</t>
  </si>
  <si>
    <t>5000A</t>
  </si>
  <si>
    <t>5224A</t>
  </si>
  <si>
    <t>6091D</t>
  </si>
  <si>
    <t>A5209</t>
  </si>
  <si>
    <t>A5265</t>
  </si>
  <si>
    <t>WC</t>
  </si>
  <si>
    <t>A4120</t>
  </si>
  <si>
    <t>ELK</t>
  </si>
  <si>
    <t>Drive UP</t>
  </si>
  <si>
    <t>A1001</t>
  </si>
  <si>
    <t>A1162</t>
  </si>
  <si>
    <t>W5000</t>
  </si>
  <si>
    <t>W5042</t>
  </si>
  <si>
    <t>A2113</t>
  </si>
  <si>
    <t>A3064</t>
  </si>
  <si>
    <t>W3040</t>
  </si>
  <si>
    <t>AMK</t>
  </si>
  <si>
    <t>D1000</t>
  </si>
  <si>
    <t>D1006</t>
  </si>
  <si>
    <t>2998 &amp;2998A</t>
  </si>
  <si>
    <t>2998L</t>
  </si>
  <si>
    <t>A2000</t>
  </si>
  <si>
    <t>A2086</t>
  </si>
  <si>
    <t>AIRCON</t>
  </si>
  <si>
    <t>P2000</t>
  </si>
  <si>
    <t>P2029</t>
  </si>
  <si>
    <t>AIRCON / Premium</t>
  </si>
  <si>
    <t>A3038</t>
  </si>
  <si>
    <t>A3372</t>
  </si>
  <si>
    <t>E3000</t>
  </si>
  <si>
    <t>E3048</t>
  </si>
  <si>
    <t>AIRCON / Executive</t>
  </si>
  <si>
    <t>MMR</t>
  </si>
  <si>
    <t>W1000</t>
  </si>
  <si>
    <t>W1108</t>
  </si>
  <si>
    <t>W5001</t>
  </si>
  <si>
    <t>W5039</t>
  </si>
  <si>
    <t>A1000</t>
  </si>
  <si>
    <t>A1071</t>
  </si>
  <si>
    <t>A1105</t>
  </si>
  <si>
    <t>M1000</t>
  </si>
  <si>
    <t>M1179</t>
  </si>
  <si>
    <t>M1180</t>
  </si>
  <si>
    <t>M1182</t>
  </si>
  <si>
    <t>A5001</t>
  </si>
  <si>
    <t>A5213</t>
  </si>
  <si>
    <t>NON AIRCON</t>
  </si>
  <si>
    <t>1183M</t>
  </si>
  <si>
    <t>1184M</t>
  </si>
  <si>
    <t>D1100</t>
  </si>
  <si>
    <t>D1110</t>
  </si>
  <si>
    <t>TS</t>
  </si>
  <si>
    <t>A2061</t>
  </si>
  <si>
    <t>A4077</t>
  </si>
  <si>
    <t>A7000</t>
  </si>
  <si>
    <t>A7076</t>
  </si>
  <si>
    <t>KWY</t>
  </si>
  <si>
    <t>A1039</t>
  </si>
  <si>
    <t>W1001</t>
  </si>
  <si>
    <t>W1168</t>
  </si>
  <si>
    <t>CLIMATE CONTROL</t>
  </si>
  <si>
    <t>A5044</t>
  </si>
  <si>
    <t xml:space="preserve">STORAGE UNITS DESCRIPTION IN WOODLANDS CLOSE </t>
  </si>
  <si>
    <t>STORAGE UNITS DESCRIPTION IN TOA PAYOH</t>
  </si>
  <si>
    <t>STORAGE UNITS DESCRIPTION IN BOON KENG</t>
  </si>
  <si>
    <t>STORAGE UNIT DESCRIPTION (COMMONWEALTH)</t>
  </si>
  <si>
    <t xml:space="preserve">Yes  </t>
  </si>
  <si>
    <t xml:space="preserve">Aircon  </t>
  </si>
  <si>
    <t>Entrance Only /      Units using Padlock</t>
  </si>
  <si>
    <t>STORAGE UNIT DESCRIPTION (HILLVIEW)</t>
  </si>
  <si>
    <t xml:space="preserve">No </t>
  </si>
  <si>
    <t>HV has 2 portable dehumidifiers that we will shift around different areas when needed.</t>
  </si>
  <si>
    <t>STORAGE UNIT DESCRIPTION (IMM)</t>
  </si>
  <si>
    <t xml:space="preserve">IMM having centralised aircon during office hours </t>
  </si>
  <si>
    <t>STORAGE UNIT DESCRIPTION (WEST COAST)</t>
  </si>
  <si>
    <t>STORAGE UNITS DESCRIPTION IN EUNOS LINK</t>
  </si>
  <si>
    <t>STORAGE UNITS DESCRIPTION IN Ang Mo Kio</t>
  </si>
  <si>
    <t xml:space="preserve">STORAGE UNITS DESCRIPTION IN MARYMOUNT </t>
  </si>
  <si>
    <t xml:space="preserve">TO </t>
  </si>
  <si>
    <t xml:space="preserve">NO </t>
  </si>
  <si>
    <t>STORAGE UNITS DESCRIPTION IN TAI SENG</t>
  </si>
  <si>
    <t>STORAGE UNITS DESCRIPTION IN KALLANG WAY</t>
  </si>
  <si>
    <t>* During the summer season, dehumidifiers are operated on a limited basis near the sunken area to manage humidity levels.</t>
  </si>
  <si>
    <t>AIR-CON,
ONLY FOR SUMMER</t>
  </si>
  <si>
    <t>H2101</t>
  </si>
  <si>
    <t>H2001</t>
  </si>
  <si>
    <t>YES, 
ONLY FOR SUMMER</t>
  </si>
  <si>
    <t>H1436</t>
  </si>
  <si>
    <t>H1400</t>
  </si>
  <si>
    <t>H1399</t>
  </si>
  <si>
    <t>H1300</t>
  </si>
  <si>
    <t>H1299</t>
  </si>
  <si>
    <t>H1200</t>
  </si>
  <si>
    <t>H1199</t>
  </si>
  <si>
    <t>H1101</t>
  </si>
  <si>
    <t>H1100</t>
  </si>
  <si>
    <t>H1001</t>
  </si>
  <si>
    <t>STORAGE UNITS DESCRIPTION IN YANGJAE</t>
  </si>
  <si>
    <t>*During the summer season, dehumidifiers are operated on Basement Level 1 and Level 2 to manage humidity levels.</t>
  </si>
  <si>
    <t>B1035</t>
  </si>
  <si>
    <t>B1001</t>
  </si>
  <si>
    <t>B2019</t>
  </si>
  <si>
    <t>B2001</t>
  </si>
  <si>
    <t>STORAGE UNITS DESCRIPTION IN BUNDANG</t>
  </si>
  <si>
    <t>STORAGE UNITS DESCRIPTION IN APGUJEONG</t>
  </si>
  <si>
    <t>STORAGE UNITS DESCRIPTION IN GASAN</t>
  </si>
  <si>
    <t>*It is a small, separate space without air conditioning; however, a dehumidifier is operated during the summer season.</t>
  </si>
  <si>
    <t>STORAGE UNITS DESCRIPTION IN YEINGDEUNGPO</t>
  </si>
  <si>
    <t>STORAGE UNITS DESCRIPTION IN YONGSAN</t>
  </si>
  <si>
    <t>STORAGE UNITS DESCRIPTION IN BANPO</t>
  </si>
  <si>
    <t>YJ</t>
  </si>
  <si>
    <t>BD</t>
  </si>
  <si>
    <t>AGJ</t>
  </si>
  <si>
    <t>GS</t>
  </si>
  <si>
    <t>YDP</t>
  </si>
  <si>
    <t>YS</t>
  </si>
  <si>
    <t>BP</t>
  </si>
  <si>
    <t>STORAGE UNITS DESCRIPTION IN CHAN SOW LIN</t>
  </si>
  <si>
    <t>G0001</t>
  </si>
  <si>
    <t>G1110</t>
  </si>
  <si>
    <t>OG03</t>
  </si>
  <si>
    <t>A3180</t>
  </si>
  <si>
    <t>W3000</t>
  </si>
  <si>
    <t>W3019</t>
  </si>
  <si>
    <t>STORAGE UNITS DESCRIPTION IN SEGAMBUT</t>
  </si>
  <si>
    <t>G1001</t>
  </si>
  <si>
    <t>G1403</t>
  </si>
  <si>
    <t>A1201</t>
  </si>
  <si>
    <t>A1608</t>
  </si>
  <si>
    <t>STORAGE UNITS DESCRIPTION IN S51A</t>
  </si>
  <si>
    <t>G1198</t>
  </si>
  <si>
    <t>OG02</t>
  </si>
  <si>
    <t>C1001</t>
  </si>
  <si>
    <t>C1021</t>
  </si>
  <si>
    <t>C2001</t>
  </si>
  <si>
    <t>C2021</t>
  </si>
  <si>
    <t>A1181</t>
  </si>
  <si>
    <t>W0001</t>
  </si>
  <si>
    <t>W1017</t>
  </si>
  <si>
    <t>L1001</t>
  </si>
  <si>
    <t>L1106</t>
  </si>
  <si>
    <t>T1001</t>
  </si>
  <si>
    <t>T1006</t>
  </si>
  <si>
    <t>B1069</t>
  </si>
  <si>
    <t>STORAGE UNITS DESCRIPTION IN KOTA DAMANSARA</t>
  </si>
  <si>
    <t>KD</t>
  </si>
  <si>
    <t>S51</t>
  </si>
  <si>
    <t>SEG</t>
  </si>
  <si>
    <t>CSL</t>
  </si>
  <si>
    <t>Turn #</t>
  </si>
  <si>
    <t>Date</t>
  </si>
  <si>
    <t>User Request</t>
  </si>
  <si>
    <t>Action Taken</t>
  </si>
  <si>
    <t>Details</t>
  </si>
  <si>
    <t>Outcome</t>
  </si>
  <si>
    <t>Add data from 7 remaining site sheets (YJ, BD, AGJ, GS, YDP, YS, BP) into the Master sheet after row 159</t>
  </si>
  <si>
    <t>Wrote 17 data rows to Master rows 160–176 with matching formatting and borders</t>
  </si>
  <si>
    <t>Sites added: YJ (6 rows), BD (5 rows), AGJ (1 row), GS (1 row), YDP (2 rows), YS (1 row), BP (1 row). All data pulled from existing individual site sheets. Applied Arial 11pt, center-aligned, thin/medium borders matching existing Master style. BP row 176 has medium bottom border as the new last row.</t>
  </si>
  <si>
    <t>Master sheet now contains all 20 sites (rows 5–176). Data and formatting verified correct.</t>
  </si>
  <si>
    <t>Add data from 4 more site sheets (CSL, SEG, S51, KD) into the Master sheet after row 176</t>
  </si>
  <si>
    <t>Wrote 23 data rows to Master rows 177–199 with matching formatting and borders</t>
  </si>
  <si>
    <t>Sites added: CSL (7 rows: G0001→G1110, OG03, 2000→2373, 3003→3281, 4002→4260, A3000→A3180, W3000→W3019), SEG (3 rows: G1001→G1403, 1001→1685, A1201→A1608), S51 (11 rows incl Drive Up units L1001→L1106, T1001→T1006, B1001→B1069), KD (2 rows: 3001→3220, 5001→5334). Also fixed BP row 176 bottom border from medium to thin. KD row 199 has medium bottom border as the new last row.</t>
  </si>
  <si>
    <t>Master sheet now contains all 24 sites (rows 5–199). All data and formatting verified.</t>
  </si>
  <si>
    <t>Remove 'ONLY FOR SUMMER' qualifier from Storage Type and Dehumidifier columns in rows 160–176 (YJ, BD, AGJ, GS, YDP, YS, BP sites)</t>
  </si>
  <si>
    <t>Updated G160:H176 — changed 'AIR-CON, ONLY FOR SUMMER' → 'AIR-CON' and 'YES, ONLY FOR SUMMER' → 'YES'</t>
  </si>
  <si>
    <t>By convention, even seasonal air-con is classified as AIR-CON. Affected 16 cells in col G and 5 cells in col H. YDP row 174 (NON AIR-CON) was left unchanged in col G but its dehumidifier was also cleaned to just 'YES'.</t>
  </si>
  <si>
    <t>Rows 160–176 now use clean AIR-CON / YES / NO values without seasonal qualifiers.</t>
  </si>
  <si>
    <t>Sitecode</t>
  </si>
  <si>
    <t>Facility</t>
  </si>
  <si>
    <t>Internal Label</t>
  </si>
  <si>
    <t>SiteCode</t>
  </si>
  <si>
    <t>Name</t>
  </si>
  <si>
    <t>District</t>
  </si>
  <si>
    <t>L018</t>
  </si>
  <si>
    <t>Extra Space AMK Pte Ltd</t>
  </si>
  <si>
    <t>Ang Mo Kio</t>
  </si>
  <si>
    <t>BK</t>
  </si>
  <si>
    <r>
      <t>BKR</t>
    </r>
    <r>
      <rPr>
        <sz val="11"/>
        <color theme="1"/>
        <rFont val="Calibri"/>
        <family val="2"/>
        <scheme val="minor"/>
      </rPr>
      <t xml:space="preserve"> (BK)</t>
    </r>
  </si>
  <si>
    <t>L002</t>
  </si>
  <si>
    <t>Extra Space Pte Ltd</t>
  </si>
  <si>
    <t>Boon Keng</t>
  </si>
  <si>
    <t>L029</t>
  </si>
  <si>
    <t>Extra Space Commonwealth Pte Ltd</t>
  </si>
  <si>
    <t>Commonwealth</t>
  </si>
  <si>
    <t>CW1</t>
  </si>
  <si>
    <t>L028</t>
  </si>
  <si>
    <t>EL</t>
  </si>
  <si>
    <r>
      <t>ELK</t>
    </r>
    <r>
      <rPr>
        <sz val="11"/>
        <color theme="1"/>
        <rFont val="Calibri"/>
        <family val="2"/>
        <scheme val="minor"/>
      </rPr>
      <t xml:space="preserve"> (EL)</t>
    </r>
  </si>
  <si>
    <t>L003</t>
  </si>
  <si>
    <t>Extra Space Eunos Link</t>
  </si>
  <si>
    <t>Kaki Bukit</t>
  </si>
  <si>
    <t>L025</t>
  </si>
  <si>
    <t>Extra Space Hillview Pte Ltd</t>
  </si>
  <si>
    <t>Hillview</t>
  </si>
  <si>
    <t>L001</t>
  </si>
  <si>
    <t>Extra Space Jurong Pte Ltd</t>
  </si>
  <si>
    <t>Jurong East</t>
  </si>
  <si>
    <t>KW</t>
  </si>
  <si>
    <r>
      <t>KWY</t>
    </r>
    <r>
      <rPr>
        <sz val="11"/>
        <color theme="1"/>
        <rFont val="Calibri"/>
        <family val="2"/>
        <scheme val="minor"/>
      </rPr>
      <t xml:space="preserve"> (KW)</t>
    </r>
  </si>
  <si>
    <t>L008</t>
  </si>
  <si>
    <t>Extra Space Kallang Way</t>
  </si>
  <si>
    <t>Kallang</t>
  </si>
  <si>
    <t>L005</t>
  </si>
  <si>
    <t>Extra Space Marymount</t>
  </si>
  <si>
    <t>Sin Ming</t>
  </si>
  <si>
    <t>TP</t>
  </si>
  <si>
    <r>
      <t>TPY</t>
    </r>
    <r>
      <rPr>
        <sz val="11"/>
        <color theme="1"/>
        <rFont val="Calibri"/>
        <family val="2"/>
        <scheme val="minor"/>
      </rPr>
      <t xml:space="preserve"> (TP)</t>
    </r>
  </si>
  <si>
    <t>L022</t>
  </si>
  <si>
    <t>Extra Space Toa Payoh</t>
  </si>
  <si>
    <t>Toa Payoh</t>
  </si>
  <si>
    <t>L030</t>
  </si>
  <si>
    <t>Extra Space Tai Seng Pte Ltd</t>
  </si>
  <si>
    <t>Tai Seng</t>
  </si>
  <si>
    <r>
      <t>WCT</t>
    </r>
    <r>
      <rPr>
        <sz val="11"/>
        <color theme="1"/>
        <rFont val="Calibri"/>
        <family val="2"/>
        <scheme val="minor"/>
      </rPr>
      <t xml:space="preserve"> (WC)</t>
    </r>
  </si>
  <si>
    <t>L004</t>
  </si>
  <si>
    <t>Extra Space West Coast Pte Ltd</t>
  </si>
  <si>
    <t>Toh Tuck</t>
  </si>
  <si>
    <t>WD</t>
  </si>
  <si>
    <r>
      <t>WDL</t>
    </r>
    <r>
      <rPr>
        <sz val="11"/>
        <color theme="1"/>
        <rFont val="Calibri"/>
        <family val="2"/>
        <scheme val="minor"/>
      </rPr>
      <t xml:space="preserve"> (WD)</t>
    </r>
  </si>
  <si>
    <t>L017</t>
  </si>
  <si>
    <t>Extra Space Woodlands</t>
  </si>
  <si>
    <t>Woodlands</t>
  </si>
  <si>
    <t>L007</t>
  </si>
  <si>
    <t>Extra Space Malaysia Sdn Bhd</t>
  </si>
  <si>
    <t>Chan Sow Lin, KL</t>
  </si>
  <si>
    <t>SGT</t>
  </si>
  <si>
    <t>L009</t>
  </si>
  <si>
    <t>Extra Space Segambut Sdn Bhd</t>
  </si>
  <si>
    <t>Segambut, KL</t>
  </si>
  <si>
    <t>S51A</t>
  </si>
  <si>
    <t>L010</t>
  </si>
  <si>
    <t>Extra Space S51A Sdn Bhd</t>
  </si>
  <si>
    <t>Sunway, Selangor</t>
  </si>
  <si>
    <t>L026</t>
  </si>
  <si>
    <t>Extra Space Kota Damansara Sdn Bhd</t>
  </si>
  <si>
    <t>Kota Damansara, Selangor</t>
  </si>
  <si>
    <t>ESKY</t>
  </si>
  <si>
    <t>L006</t>
  </si>
  <si>
    <t>Extra Space - Yangjae</t>
  </si>
  <si>
    <t>Seocho-gu, Seoul</t>
  </si>
  <si>
    <t>ESKB</t>
  </si>
  <si>
    <t>L011</t>
  </si>
  <si>
    <t>Extra Space - Bundang</t>
  </si>
  <si>
    <t>Bundang-gu, Seongnam</t>
  </si>
  <si>
    <t>ESKG</t>
  </si>
  <si>
    <t>L013</t>
  </si>
  <si>
    <t>Extra Space - Gasan</t>
  </si>
  <si>
    <t>Geumcheon-gu, Seoul</t>
  </si>
  <si>
    <t>ESKA</t>
  </si>
  <si>
    <t>L019</t>
  </si>
  <si>
    <t>Extra Space - Apgujeong</t>
  </si>
  <si>
    <t>Gangnam-gu, Seoul</t>
  </si>
  <si>
    <t>ESKYP</t>
  </si>
  <si>
    <t>L021</t>
  </si>
  <si>
    <t>Extra Space - Yeongdeungpo</t>
  </si>
  <si>
    <t>Yeongdeungpo-gu, Seoul</t>
  </si>
  <si>
    <t>ESKYS</t>
  </si>
  <si>
    <t>L023</t>
  </si>
  <si>
    <t>Extra Space - Yongsan</t>
  </si>
  <si>
    <t>Yongsan-gu, Seoul</t>
  </si>
  <si>
    <t>ESKBP</t>
  </si>
  <si>
    <t>L024</t>
  </si>
  <si>
    <t>Extra Space - Banpo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</si>
</sst>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Arial"/>
    </font>
    <font>
      <b/>
      <sz val="11"/>
      <color theme="1"/>
      <name val="Arial"/>
    </font>
    <font>
      <sz val="10"/>
      <color theme="1"/>
      <name val="Arial"/>
    </font>
    <font>
      <b/>
      <sz val="11"/>
      <color theme="1"/>
      <name val="Arial Narrow"/>
    </font>
    <font>
      <sz val="8"/>
      <name val="Calibri"/>
      <family val="2"/>
      <scheme val="minor"/>
    </font>
    <font>
      <sz val="11"/>
      <color rgb="FF000000"/>
      <name val="Arial"/>
    </font>
    <font>
      <b/>
      <sz val="11"/>
      <color theme="1"/>
      <name val="Calibri"/>
      <scheme val="minor"/>
    </font>
    <font>
      <sz val="11"/>
      <color theme="1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8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rgb="FF000000"/>
      </top>
      <bottom style="thin">
        <color auto="1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auto="1"/>
      </left>
      <right/>
      <top style="medium">
        <color rgb="FF000000"/>
      </top>
      <bottom style="thin">
        <color auto="1"/>
      </bottom>
      <diagonal/>
    </border>
  </borders>
  <cellStyleXfs count="1">
    <xf numFmtId="0" fontId="0" fillId="0" borderId="0"/>
  </cellStyleXfs>
  <cellXfs count="193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0" xfId="0" applyAlignment="1">
      <alignment horizontal="center"/>
    </xf>
    <xf numFmtId="0" fontId="6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2" xfId="0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7" fillId="0" borderId="1" xfId="0" applyFont="1" applyBorder="1"/>
    <xf numFmtId="0" fontId="7" fillId="0" borderId="6" xfId="0" applyFont="1" applyBorder="1"/>
    <xf numFmtId="0" fontId="7" fillId="0" borderId="4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8" xfId="0" applyFont="1" applyBorder="1" applyAlignment="1">
      <alignment horizontal="center"/>
    </xf>
    <xf numFmtId="0" fontId="8" fillId="4" borderId="36" xfId="0" applyFont="1" applyFill="1" applyBorder="1" applyAlignment="1">
      <alignment horizontal="center"/>
    </xf>
    <xf numFmtId="0" fontId="8" fillId="4" borderId="37" xfId="0" applyFont="1" applyFill="1" applyBorder="1" applyAlignment="1">
      <alignment horizontal="center"/>
    </xf>
    <xf numFmtId="0" fontId="8" fillId="4" borderId="38" xfId="0" applyFont="1" applyFill="1" applyBorder="1" applyAlignment="1">
      <alignment horizontal="center"/>
    </xf>
    <xf numFmtId="0" fontId="8" fillId="4" borderId="39" xfId="0" applyFont="1" applyFill="1" applyBorder="1" applyAlignment="1">
      <alignment horizontal="center"/>
    </xf>
    <xf numFmtId="0" fontId="8" fillId="4" borderId="40" xfId="0" applyFont="1" applyFill="1" applyBorder="1" applyAlignment="1">
      <alignment horizontal="center"/>
    </xf>
    <xf numFmtId="0" fontId="8" fillId="4" borderId="41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8" fillId="4" borderId="42" xfId="0" applyFont="1" applyFill="1" applyBorder="1" applyAlignment="1">
      <alignment horizontal="center"/>
    </xf>
    <xf numFmtId="0" fontId="7" fillId="0" borderId="43" xfId="0" applyFont="1" applyBorder="1"/>
    <xf numFmtId="0" fontId="7" fillId="0" borderId="43" xfId="0" applyFont="1" applyBorder="1" applyAlignment="1">
      <alignment horizontal="center"/>
    </xf>
    <xf numFmtId="0" fontId="7" fillId="0" borderId="44" xfId="0" applyFont="1" applyBorder="1" applyAlignment="1">
      <alignment horizont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" fillId="0" borderId="47" xfId="0" applyFont="1" applyBorder="1" applyAlignment="1">
      <alignment horizontal="center" vertical="center" wrapText="1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1" fillId="0" borderId="52" xfId="0" applyFont="1" applyBorder="1" applyAlignment="1">
      <alignment horizontal="center" vertical="center" wrapText="1"/>
    </xf>
    <xf numFmtId="0" fontId="1" fillId="0" borderId="53" xfId="0" applyFont="1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1" fillId="0" borderId="55" xfId="0" applyFont="1" applyBorder="1" applyAlignment="1">
      <alignment horizontal="center" vertical="center" wrapText="1"/>
    </xf>
    <xf numFmtId="0" fontId="1" fillId="0" borderId="56" xfId="0" applyFont="1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9" fillId="0" borderId="58" xfId="0" applyFont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/>
    </xf>
    <xf numFmtId="0" fontId="9" fillId="0" borderId="59" xfId="0" applyFont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9" fillId="0" borderId="61" xfId="0" applyFont="1" applyBorder="1" applyAlignment="1">
      <alignment horizontal="center" vertical="center" wrapText="1"/>
    </xf>
    <xf numFmtId="0" fontId="9" fillId="0" borderId="61" xfId="0" applyFont="1" applyBorder="1" applyAlignment="1">
      <alignment horizontal="center" vertical="center"/>
    </xf>
    <xf numFmtId="0" fontId="9" fillId="0" borderId="62" xfId="0" applyFont="1" applyBorder="1" applyAlignment="1">
      <alignment horizontal="center" vertical="center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/>
    </xf>
    <xf numFmtId="0" fontId="9" fillId="0" borderId="6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0" fillId="0" borderId="66" xfId="0" applyBorder="1" applyAlignment="1">
      <alignment horizontal="center" vertical="center"/>
    </xf>
    <xf numFmtId="0" fontId="0" fillId="0" borderId="35" xfId="0" applyBorder="1" applyAlignment="1">
      <alignment horizontal="center" vertical="center" wrapText="1"/>
    </xf>
    <xf numFmtId="0" fontId="9" fillId="0" borderId="35" xfId="0" applyFont="1" applyBorder="1" applyAlignment="1">
      <alignment horizontal="center" vertical="center"/>
    </xf>
    <xf numFmtId="0" fontId="9" fillId="0" borderId="67" xfId="0" applyFont="1" applyBorder="1" applyAlignment="1">
      <alignment horizontal="center" vertical="center"/>
    </xf>
    <xf numFmtId="0" fontId="9" fillId="0" borderId="6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69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0" fontId="9" fillId="0" borderId="70" xfId="0" applyFont="1" applyBorder="1" applyAlignment="1">
      <alignment horizontal="center" vertical="center"/>
    </xf>
    <xf numFmtId="0" fontId="1" fillId="0" borderId="71" xfId="0" applyFont="1" applyBorder="1" applyAlignment="1">
      <alignment horizontal="center" vertical="center"/>
    </xf>
    <xf numFmtId="0" fontId="1" fillId="0" borderId="68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0" fillId="0" borderId="25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3" xfId="0" applyBorder="1" applyAlignment="1">
      <alignment vertical="center"/>
    </xf>
    <xf numFmtId="0" fontId="1" fillId="0" borderId="70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/>
    </xf>
    <xf numFmtId="0" fontId="7" fillId="0" borderId="34" xfId="0" applyFont="1" applyBorder="1"/>
    <xf numFmtId="0" fontId="7" fillId="0" borderId="72" xfId="0" applyFont="1" applyBorder="1" applyAlignment="1">
      <alignment horizontal="center"/>
    </xf>
    <xf numFmtId="0" fontId="12" fillId="5" borderId="73" xfId="0" applyFont="1" applyFill="1" applyBorder="1" applyAlignment="1">
      <alignment horizontal="center"/>
    </xf>
    <xf numFmtId="0" fontId="12" fillId="5" borderId="74" xfId="0" applyFont="1" applyFill="1" applyBorder="1" applyAlignment="1">
      <alignment horizontal="center"/>
    </xf>
    <xf numFmtId="0" fontId="12" fillId="5" borderId="73" xfId="0" applyFont="1" applyFill="1" applyBorder="1"/>
    <xf numFmtId="0" fontId="12" fillId="5" borderId="75" xfId="0" applyFont="1" applyFill="1" applyBorder="1" applyAlignment="1">
      <alignment horizontal="center"/>
    </xf>
    <xf numFmtId="0" fontId="12" fillId="5" borderId="73" xfId="0" applyFont="1" applyFill="1" applyBorder="1" applyAlignment="1">
      <alignment wrapText="1"/>
    </xf>
    <xf numFmtId="0" fontId="12" fillId="5" borderId="76" xfId="0" applyFont="1" applyFill="1" applyBorder="1" applyAlignment="1">
      <alignment horizontal="center"/>
    </xf>
    <xf numFmtId="0" fontId="12" fillId="5" borderId="75" xfId="0" applyFont="1" applyFill="1" applyBorder="1"/>
    <xf numFmtId="0" fontId="12" fillId="5" borderId="73" xfId="0" applyFont="1" applyFill="1" applyBorder="1" applyAlignment="1">
      <alignment horizontal="center" wrapText="1"/>
    </xf>
    <xf numFmtId="0" fontId="12" fillId="5" borderId="77" xfId="0" applyFont="1" applyFill="1" applyBorder="1" applyAlignment="1">
      <alignment horizontal="center"/>
    </xf>
    <xf numFmtId="0" fontId="12" fillId="5" borderId="78" xfId="0" applyFont="1" applyFill="1" applyBorder="1" applyAlignment="1">
      <alignment horizontal="center"/>
    </xf>
    <xf numFmtId="0" fontId="12" fillId="5" borderId="58" xfId="0" applyFont="1" applyFill="1" applyBorder="1"/>
    <xf numFmtId="0" fontId="12" fillId="5" borderId="78" xfId="0" applyFont="1" applyFill="1" applyBorder="1"/>
    <xf numFmtId="0" fontId="12" fillId="5" borderId="78" xfId="0" applyFont="1" applyFill="1" applyBorder="1" applyAlignment="1">
      <alignment wrapText="1"/>
    </xf>
    <xf numFmtId="0" fontId="12" fillId="5" borderId="78" xfId="0" applyFont="1" applyFill="1" applyBorder="1" applyAlignment="1">
      <alignment horizontal="center" wrapText="1"/>
    </xf>
    <xf numFmtId="0" fontId="12" fillId="5" borderId="79" xfId="0" applyFont="1" applyFill="1" applyBorder="1" applyAlignment="1">
      <alignment horizontal="center"/>
    </xf>
    <xf numFmtId="0" fontId="13" fillId="4" borderId="0" xfId="0" applyFont="1" applyFill="1"/>
    <xf numFmtId="0" fontId="14" fillId="0" borderId="0" xfId="0" applyFont="1" applyAlignment="1">
      <alignment vertical="top" wrapText="1"/>
    </xf>
    <xf numFmtId="14" fontId="14" fillId="0" borderId="0" xfId="0" applyNumberFormat="1" applyFont="1" applyAlignment="1">
      <alignment vertical="top" wrapText="1"/>
    </xf>
    <xf numFmtId="0" fontId="7" fillId="0" borderId="80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8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6" borderId="0" xfId="0" applyFill="1" applyAlignment="1">
      <alignment vertical="center"/>
    </xf>
    <xf numFmtId="0" fontId="1" fillId="6" borderId="4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31" xfId="0" applyFont="1" applyFill="1" applyBorder="1" applyAlignment="1">
      <alignment horizontal="center" vertical="center"/>
    </xf>
    <xf numFmtId="0" fontId="1" fillId="6" borderId="25" xfId="0" applyFont="1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/>
    </xf>
    <xf numFmtId="0" fontId="7" fillId="6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656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B21BDC0-E3FB-467A-8A33-77FF63A7A557}">
  <we:reference id="WA200009404" version="1.0.0.5" store="en-us" storeType="omex"/>
  <we:alternateReferences>
    <we:reference id="WA200009404" version="1.0.0.5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E81E1-B1A5-4F36-BE0B-133E6580F336}">
  <dimension ref="A1:F4"/>
  <sheetViews>
    <sheetView workbookViewId="0"/>
  </sheetViews>
  <sheetFormatPr defaultRowHeight="15" x14ac:dyDescent="0.25"/>
  <cols>
    <col min="1" max="1" width="9.28515625" customWidth="1"/>
    <col min="2" max="2" width="14.7109375" customWidth="1"/>
    <col min="3" max="3" width="46.28515625" customWidth="1"/>
    <col min="4" max="4" width="37" customWidth="1"/>
    <col min="5" max="5" width="64.7109375" customWidth="1"/>
    <col min="6" max="6" width="46.28515625" customWidth="1"/>
  </cols>
  <sheetData>
    <row r="1" spans="1:6" x14ac:dyDescent="0.25">
      <c r="A1" s="158" t="s">
        <v>253</v>
      </c>
      <c r="B1" s="158" t="s">
        <v>254</v>
      </c>
      <c r="C1" s="158" t="s">
        <v>255</v>
      </c>
      <c r="D1" s="158" t="s">
        <v>256</v>
      </c>
      <c r="E1" s="158" t="s">
        <v>257</v>
      </c>
      <c r="F1" s="158" t="s">
        <v>258</v>
      </c>
    </row>
    <row r="2" spans="1:6" ht="75" x14ac:dyDescent="0.25">
      <c r="A2" s="159">
        <v>1</v>
      </c>
      <c r="B2" s="160">
        <v>46078</v>
      </c>
      <c r="C2" s="159" t="s">
        <v>259</v>
      </c>
      <c r="D2" s="159" t="s">
        <v>260</v>
      </c>
      <c r="E2" s="159" t="s">
        <v>261</v>
      </c>
      <c r="F2" s="159" t="s">
        <v>262</v>
      </c>
    </row>
    <row r="3" spans="1:6" ht="105" x14ac:dyDescent="0.25">
      <c r="A3" s="159">
        <v>2</v>
      </c>
      <c r="B3" s="160">
        <v>46078</v>
      </c>
      <c r="C3" s="159" t="s">
        <v>263</v>
      </c>
      <c r="D3" s="159" t="s">
        <v>264</v>
      </c>
      <c r="E3" s="159" t="s">
        <v>265</v>
      </c>
      <c r="F3" s="159" t="s">
        <v>266</v>
      </c>
    </row>
    <row r="4" spans="1:6" ht="60" x14ac:dyDescent="0.25">
      <c r="A4" s="159">
        <v>3</v>
      </c>
      <c r="B4" s="160">
        <v>46078</v>
      </c>
      <c r="C4" s="159" t="s">
        <v>267</v>
      </c>
      <c r="D4" s="159" t="s">
        <v>268</v>
      </c>
      <c r="E4" s="159" t="s">
        <v>269</v>
      </c>
      <c r="F4" s="159" t="s">
        <v>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10D83-C19E-4AB7-8B21-079C67CCF658}">
  <dimension ref="A1:E25"/>
  <sheetViews>
    <sheetView topLeftCell="A18" workbookViewId="0">
      <selection activeCell="A22" sqref="A22"/>
    </sheetView>
  </sheetViews>
  <sheetFormatPr defaultRowHeight="15" x14ac:dyDescent="0.25"/>
  <sheetData>
    <row r="1" spans="1:5" ht="30" x14ac:dyDescent="0.25">
      <c r="A1" s="162" t="s">
        <v>272</v>
      </c>
      <c r="B1" s="163" t="s">
        <v>273</v>
      </c>
      <c r="C1" s="163" t="s">
        <v>274</v>
      </c>
      <c r="D1" s="163" t="s">
        <v>275</v>
      </c>
      <c r="E1" s="163" t="s">
        <v>276</v>
      </c>
    </row>
    <row r="2" spans="1:5" ht="60" x14ac:dyDescent="0.25">
      <c r="A2" s="164" t="s">
        <v>120</v>
      </c>
      <c r="B2" s="164" t="s">
        <v>120</v>
      </c>
      <c r="C2" s="165" t="s">
        <v>277</v>
      </c>
      <c r="D2" s="165" t="s">
        <v>278</v>
      </c>
      <c r="E2" s="165" t="s">
        <v>279</v>
      </c>
    </row>
    <row r="3" spans="1:5" ht="45" x14ac:dyDescent="0.25">
      <c r="A3" s="164" t="s">
        <v>280</v>
      </c>
      <c r="B3" s="164" t="s">
        <v>281</v>
      </c>
      <c r="C3" s="165" t="s">
        <v>282</v>
      </c>
      <c r="D3" s="165" t="s">
        <v>283</v>
      </c>
      <c r="E3" s="165" t="s">
        <v>284</v>
      </c>
    </row>
    <row r="4" spans="1:5" ht="75" x14ac:dyDescent="0.25">
      <c r="A4" s="164" t="s">
        <v>68</v>
      </c>
      <c r="B4" s="164" t="s">
        <v>68</v>
      </c>
      <c r="C4" s="165" t="s">
        <v>285</v>
      </c>
      <c r="D4" s="165" t="s">
        <v>286</v>
      </c>
      <c r="E4" s="165" t="s">
        <v>287</v>
      </c>
    </row>
    <row r="5" spans="1:5" ht="75" x14ac:dyDescent="0.25">
      <c r="A5" s="164" t="s">
        <v>288</v>
      </c>
      <c r="B5" s="164" t="s">
        <v>288</v>
      </c>
      <c r="C5" s="165" t="s">
        <v>289</v>
      </c>
      <c r="D5" s="165" t="s">
        <v>286</v>
      </c>
      <c r="E5" s="165" t="s">
        <v>287</v>
      </c>
    </row>
    <row r="6" spans="1:5" ht="60" x14ac:dyDescent="0.25">
      <c r="A6" s="164" t="s">
        <v>290</v>
      </c>
      <c r="B6" s="164" t="s">
        <v>291</v>
      </c>
      <c r="C6" s="165" t="s">
        <v>292</v>
      </c>
      <c r="D6" s="165" t="s">
        <v>293</v>
      </c>
      <c r="E6" s="165" t="s">
        <v>294</v>
      </c>
    </row>
    <row r="7" spans="1:5" ht="60" x14ac:dyDescent="0.25">
      <c r="A7" s="164" t="s">
        <v>96</v>
      </c>
      <c r="B7" s="164" t="s">
        <v>96</v>
      </c>
      <c r="C7" s="165" t="s">
        <v>295</v>
      </c>
      <c r="D7" s="165" t="s">
        <v>296</v>
      </c>
      <c r="E7" s="165" t="s">
        <v>297</v>
      </c>
    </row>
    <row r="8" spans="1:5" ht="60" x14ac:dyDescent="0.25">
      <c r="A8" s="164" t="s">
        <v>103</v>
      </c>
      <c r="B8" s="164" t="s">
        <v>103</v>
      </c>
      <c r="C8" s="165" t="s">
        <v>298</v>
      </c>
      <c r="D8" s="165" t="s">
        <v>299</v>
      </c>
      <c r="E8" s="165" t="s">
        <v>300</v>
      </c>
    </row>
    <row r="9" spans="1:5" ht="60" x14ac:dyDescent="0.25">
      <c r="A9" s="164" t="s">
        <v>301</v>
      </c>
      <c r="B9" s="164" t="s">
        <v>302</v>
      </c>
      <c r="C9" s="165" t="s">
        <v>303</v>
      </c>
      <c r="D9" s="165" t="s">
        <v>304</v>
      </c>
      <c r="E9" s="165" t="s">
        <v>305</v>
      </c>
    </row>
    <row r="10" spans="1:5" ht="60" x14ac:dyDescent="0.25">
      <c r="A10" s="164" t="s">
        <v>136</v>
      </c>
      <c r="B10" s="164" t="s">
        <v>136</v>
      </c>
      <c r="C10" s="165" t="s">
        <v>306</v>
      </c>
      <c r="D10" s="165" t="s">
        <v>307</v>
      </c>
      <c r="E10" s="165" t="s">
        <v>308</v>
      </c>
    </row>
    <row r="11" spans="1:5" ht="60" x14ac:dyDescent="0.25">
      <c r="A11" s="164" t="s">
        <v>309</v>
      </c>
      <c r="B11" s="164" t="s">
        <v>310</v>
      </c>
      <c r="C11" s="165" t="s">
        <v>311</v>
      </c>
      <c r="D11" s="165" t="s">
        <v>312</v>
      </c>
      <c r="E11" s="165" t="s">
        <v>313</v>
      </c>
    </row>
    <row r="12" spans="1:5" ht="60" x14ac:dyDescent="0.25">
      <c r="A12" s="164" t="s">
        <v>155</v>
      </c>
      <c r="B12" s="164" t="s">
        <v>155</v>
      </c>
      <c r="C12" s="165" t="s">
        <v>314</v>
      </c>
      <c r="D12" s="165" t="s">
        <v>315</v>
      </c>
      <c r="E12" s="165" t="s">
        <v>316</v>
      </c>
    </row>
    <row r="13" spans="1:5" ht="75" x14ac:dyDescent="0.25">
      <c r="A13" s="164" t="s">
        <v>109</v>
      </c>
      <c r="B13" s="164" t="s">
        <v>317</v>
      </c>
      <c r="C13" s="165" t="s">
        <v>318</v>
      </c>
      <c r="D13" s="165" t="s">
        <v>319</v>
      </c>
      <c r="E13" s="165" t="s">
        <v>320</v>
      </c>
    </row>
    <row r="14" spans="1:5" ht="60" x14ac:dyDescent="0.25">
      <c r="A14" s="164" t="s">
        <v>321</v>
      </c>
      <c r="B14" s="164" t="s">
        <v>322</v>
      </c>
      <c r="C14" s="165" t="s">
        <v>323</v>
      </c>
      <c r="D14" s="165" t="s">
        <v>324</v>
      </c>
      <c r="E14" s="165" t="s">
        <v>325</v>
      </c>
    </row>
    <row r="15" spans="1:5" ht="60" x14ac:dyDescent="0.25">
      <c r="A15" s="164" t="s">
        <v>252</v>
      </c>
      <c r="B15" s="165" t="s">
        <v>252</v>
      </c>
      <c r="C15" s="165" t="s">
        <v>326</v>
      </c>
      <c r="D15" s="165" t="s">
        <v>327</v>
      </c>
      <c r="E15" s="165" t="s">
        <v>328</v>
      </c>
    </row>
    <row r="16" spans="1:5" ht="75" x14ac:dyDescent="0.25">
      <c r="A16" s="164" t="s">
        <v>329</v>
      </c>
      <c r="B16" s="165" t="s">
        <v>251</v>
      </c>
      <c r="C16" s="165" t="s">
        <v>330</v>
      </c>
      <c r="D16" s="165" t="s">
        <v>331</v>
      </c>
      <c r="E16" s="165" t="s">
        <v>332</v>
      </c>
    </row>
    <row r="17" spans="1:5" ht="60" x14ac:dyDescent="0.25">
      <c r="A17" s="164" t="s">
        <v>333</v>
      </c>
      <c r="B17" s="165" t="s">
        <v>333</v>
      </c>
      <c r="C17" s="165" t="s">
        <v>334</v>
      </c>
      <c r="D17" s="165" t="s">
        <v>335</v>
      </c>
      <c r="E17" s="165" t="s">
        <v>336</v>
      </c>
    </row>
    <row r="18" spans="1:5" ht="90" x14ac:dyDescent="0.25">
      <c r="A18" s="164" t="s">
        <v>249</v>
      </c>
      <c r="B18" s="165" t="s">
        <v>249</v>
      </c>
      <c r="C18" s="165" t="s">
        <v>337</v>
      </c>
      <c r="D18" s="165" t="s">
        <v>338</v>
      </c>
      <c r="E18" s="165" t="s">
        <v>339</v>
      </c>
    </row>
    <row r="19" spans="1:5" ht="45" x14ac:dyDescent="0.25">
      <c r="A19" s="164" t="s">
        <v>340</v>
      </c>
      <c r="B19" s="165" t="s">
        <v>340</v>
      </c>
      <c r="C19" s="165" t="s">
        <v>341</v>
      </c>
      <c r="D19" s="165" t="s">
        <v>342</v>
      </c>
      <c r="E19" s="165" t="s">
        <v>343</v>
      </c>
    </row>
    <row r="20" spans="1:5" ht="60" x14ac:dyDescent="0.25">
      <c r="A20" s="164" t="s">
        <v>344</v>
      </c>
      <c r="B20" s="165" t="s">
        <v>344</v>
      </c>
      <c r="C20" s="165" t="s">
        <v>345</v>
      </c>
      <c r="D20" s="165" t="s">
        <v>346</v>
      </c>
      <c r="E20" s="165" t="s">
        <v>347</v>
      </c>
    </row>
    <row r="21" spans="1:5" ht="45" x14ac:dyDescent="0.25">
      <c r="A21" s="164" t="s">
        <v>348</v>
      </c>
      <c r="B21" s="165" t="s">
        <v>348</v>
      </c>
      <c r="C21" s="165" t="s">
        <v>349</v>
      </c>
      <c r="D21" s="165" t="s">
        <v>350</v>
      </c>
      <c r="E21" s="165" t="s">
        <v>351</v>
      </c>
    </row>
    <row r="22" spans="1:5" ht="60" x14ac:dyDescent="0.25">
      <c r="A22" s="164" t="s">
        <v>352</v>
      </c>
      <c r="B22" s="165" t="s">
        <v>352</v>
      </c>
      <c r="C22" s="165" t="s">
        <v>353</v>
      </c>
      <c r="D22" s="165" t="s">
        <v>354</v>
      </c>
      <c r="E22" s="165" t="s">
        <v>355</v>
      </c>
    </row>
    <row r="23" spans="1:5" ht="60" x14ac:dyDescent="0.25">
      <c r="A23" s="164" t="s">
        <v>218</v>
      </c>
      <c r="B23" s="165" t="s">
        <v>356</v>
      </c>
      <c r="C23" s="165" t="s">
        <v>357</v>
      </c>
      <c r="D23" s="165" t="s">
        <v>358</v>
      </c>
      <c r="E23" s="165" t="s">
        <v>359</v>
      </c>
    </row>
    <row r="24" spans="1:5" ht="45" x14ac:dyDescent="0.25">
      <c r="A24" s="164" t="s">
        <v>219</v>
      </c>
      <c r="B24" s="165" t="s">
        <v>360</v>
      </c>
      <c r="C24" s="165" t="s">
        <v>361</v>
      </c>
      <c r="D24" s="165" t="s">
        <v>362</v>
      </c>
      <c r="E24" s="165" t="s">
        <v>363</v>
      </c>
    </row>
    <row r="25" spans="1:5" ht="45" x14ac:dyDescent="0.25">
      <c r="A25" s="164" t="s">
        <v>220</v>
      </c>
      <c r="B25" s="165" t="s">
        <v>364</v>
      </c>
      <c r="C25" s="165" t="s">
        <v>365</v>
      </c>
      <c r="D25" s="165" t="s">
        <v>366</v>
      </c>
      <c r="E25" s="165" t="s">
        <v>343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D6BF-10FD-4DCD-A36A-5BBBF2BF3F2A}">
  <dimension ref="A3:J200"/>
  <sheetViews>
    <sheetView tabSelected="1" topLeftCell="A126" workbookViewId="0">
      <selection activeCell="I144" sqref="I144"/>
    </sheetView>
  </sheetViews>
  <sheetFormatPr defaultRowHeight="15" x14ac:dyDescent="0.25"/>
  <cols>
    <col min="1" max="1" width="15.42578125" bestFit="1" customWidth="1"/>
    <col min="2" max="2" width="15.42578125" customWidth="1"/>
    <col min="3" max="3" width="4.7109375" bestFit="1" customWidth="1"/>
    <col min="4" max="4" width="21.42578125" bestFit="1" customWidth="1"/>
    <col min="5" max="5" width="4.140625" bestFit="1" customWidth="1"/>
    <col min="6" max="6" width="8.5703125" bestFit="1" customWidth="1"/>
    <col min="7" max="7" width="18.140625" bestFit="1" customWidth="1"/>
    <col min="8" max="8" width="21.85546875" bestFit="1" customWidth="1"/>
    <col min="9" max="9" width="16.140625" bestFit="1" customWidth="1"/>
    <col min="10" max="10" width="14.7109375" bestFit="1" customWidth="1"/>
  </cols>
  <sheetData>
    <row r="3" spans="1:10" x14ac:dyDescent="0.25">
      <c r="A3" s="68" t="s">
        <v>0</v>
      </c>
      <c r="B3" s="68" t="s">
        <v>271</v>
      </c>
      <c r="C3" s="68" t="s">
        <v>1</v>
      </c>
      <c r="D3" s="70" t="s">
        <v>2</v>
      </c>
      <c r="E3" s="67"/>
      <c r="F3" s="67"/>
      <c r="G3" s="70" t="s">
        <v>3</v>
      </c>
      <c r="H3" s="68" t="s">
        <v>4</v>
      </c>
      <c r="I3" s="68" t="s">
        <v>5</v>
      </c>
      <c r="J3" s="69" t="s">
        <v>6</v>
      </c>
    </row>
    <row r="4" spans="1:10" ht="15.75" thickBot="1" x14ac:dyDescent="0.3">
      <c r="A4" s="71"/>
      <c r="B4" s="71"/>
      <c r="C4" s="71"/>
      <c r="D4" s="72"/>
      <c r="E4" s="73"/>
      <c r="F4" s="73"/>
      <c r="G4" s="72"/>
      <c r="H4" s="71"/>
      <c r="I4" s="71" t="s">
        <v>7</v>
      </c>
      <c r="J4" s="74" t="s">
        <v>7</v>
      </c>
    </row>
    <row r="5" spans="1:10" ht="15.75" thickBot="1" x14ac:dyDescent="0.3">
      <c r="A5" s="166" t="s">
        <v>321</v>
      </c>
      <c r="B5" s="167" t="str">
        <f>VLOOKUP(A5,SiteConfig!$A:$C,3,FALSE)</f>
        <v>L017</v>
      </c>
      <c r="C5" s="161">
        <v>1</v>
      </c>
      <c r="D5" s="75" t="s">
        <v>9</v>
      </c>
      <c r="E5" s="76" t="s">
        <v>10</v>
      </c>
      <c r="F5" s="75" t="s">
        <v>11</v>
      </c>
      <c r="G5" s="75"/>
      <c r="H5" s="75" t="s">
        <v>12</v>
      </c>
      <c r="I5" s="76" t="s">
        <v>13</v>
      </c>
      <c r="J5" s="77" t="s">
        <v>14</v>
      </c>
    </row>
    <row r="6" spans="1:10" ht="15.75" thickBot="1" x14ac:dyDescent="0.3">
      <c r="A6" s="166" t="s">
        <v>321</v>
      </c>
      <c r="B6" s="167" t="str">
        <f>VLOOKUP(A6,SiteConfig!$A:$C,3,FALSE)</f>
        <v>L017</v>
      </c>
      <c r="C6" s="65">
        <v>2</v>
      </c>
      <c r="D6" s="62" t="s">
        <v>15</v>
      </c>
      <c r="E6" s="65" t="s">
        <v>10</v>
      </c>
      <c r="F6" s="62" t="s">
        <v>16</v>
      </c>
      <c r="G6" s="62"/>
      <c r="H6" s="62" t="s">
        <v>12</v>
      </c>
      <c r="I6" s="65" t="s">
        <v>14</v>
      </c>
      <c r="J6" s="66" t="s">
        <v>14</v>
      </c>
    </row>
    <row r="7" spans="1:10" ht="15.75" thickBot="1" x14ac:dyDescent="0.3">
      <c r="A7" s="166" t="s">
        <v>321</v>
      </c>
      <c r="B7" s="167" t="str">
        <f>VLOOKUP(A7,SiteConfig!$A:$C,3,FALSE)</f>
        <v>L017</v>
      </c>
      <c r="C7" s="65">
        <v>3</v>
      </c>
      <c r="D7" s="62" t="s">
        <v>17</v>
      </c>
      <c r="E7" s="65" t="s">
        <v>10</v>
      </c>
      <c r="F7" s="62" t="s">
        <v>18</v>
      </c>
      <c r="G7" s="62"/>
      <c r="H7" s="62" t="s">
        <v>12</v>
      </c>
      <c r="I7" s="65" t="s">
        <v>14</v>
      </c>
      <c r="J7" s="66" t="s">
        <v>14</v>
      </c>
    </row>
    <row r="8" spans="1:10" ht="15.75" thickBot="1" x14ac:dyDescent="0.3">
      <c r="A8" s="166" t="s">
        <v>321</v>
      </c>
      <c r="B8" s="167" t="str">
        <f>VLOOKUP(A8,SiteConfig!$A:$C,3,FALSE)</f>
        <v>L017</v>
      </c>
      <c r="C8" s="65">
        <v>4</v>
      </c>
      <c r="D8" s="62">
        <v>4000</v>
      </c>
      <c r="E8" s="65" t="s">
        <v>10</v>
      </c>
      <c r="F8" s="62">
        <v>4020</v>
      </c>
      <c r="G8" s="62"/>
      <c r="H8" s="62" t="s">
        <v>19</v>
      </c>
      <c r="I8" s="65" t="s">
        <v>14</v>
      </c>
      <c r="J8" s="66" t="s">
        <v>14</v>
      </c>
    </row>
    <row r="9" spans="1:10" ht="15.75" thickBot="1" x14ac:dyDescent="0.3">
      <c r="A9" s="166" t="s">
        <v>321</v>
      </c>
      <c r="B9" s="167" t="str">
        <f>VLOOKUP(A9,SiteConfig!$A:$C,3,FALSE)</f>
        <v>L017</v>
      </c>
      <c r="C9" s="65">
        <v>5</v>
      </c>
      <c r="D9" s="62" t="s">
        <v>20</v>
      </c>
      <c r="E9" s="65" t="s">
        <v>10</v>
      </c>
      <c r="F9" s="62" t="s">
        <v>21</v>
      </c>
      <c r="G9" s="62"/>
      <c r="H9" s="62" t="s">
        <v>12</v>
      </c>
      <c r="I9" s="65" t="s">
        <v>14</v>
      </c>
      <c r="J9" s="66" t="s">
        <v>14</v>
      </c>
    </row>
    <row r="10" spans="1:10" ht="15.75" thickBot="1" x14ac:dyDescent="0.3">
      <c r="A10" s="166" t="s">
        <v>321</v>
      </c>
      <c r="B10" s="167" t="str">
        <f>VLOOKUP(A10,SiteConfig!$A:$C,3,FALSE)</f>
        <v>L017</v>
      </c>
      <c r="C10" s="65">
        <v>6</v>
      </c>
      <c r="D10" s="62" t="s">
        <v>22</v>
      </c>
      <c r="E10" s="65" t="s">
        <v>10</v>
      </c>
      <c r="F10" s="62" t="s">
        <v>23</v>
      </c>
      <c r="G10" s="62"/>
      <c r="H10" s="62" t="s">
        <v>12</v>
      </c>
      <c r="I10" s="65" t="s">
        <v>13</v>
      </c>
      <c r="J10" s="66" t="s">
        <v>14</v>
      </c>
    </row>
    <row r="11" spans="1:10" ht="15.75" thickBot="1" x14ac:dyDescent="0.3">
      <c r="A11" s="166" t="s">
        <v>321</v>
      </c>
      <c r="B11" s="167" t="str">
        <f>VLOOKUP(A11,SiteConfig!$A:$C,3,FALSE)</f>
        <v>L017</v>
      </c>
      <c r="C11" s="65">
        <v>7</v>
      </c>
      <c r="D11" s="62">
        <v>4200</v>
      </c>
      <c r="E11" s="65" t="s">
        <v>10</v>
      </c>
      <c r="F11" s="62">
        <v>4223</v>
      </c>
      <c r="G11" s="62"/>
      <c r="H11" s="62" t="s">
        <v>19</v>
      </c>
      <c r="I11" s="65" t="s">
        <v>14</v>
      </c>
      <c r="J11" s="66" t="s">
        <v>14</v>
      </c>
    </row>
    <row r="12" spans="1:10" ht="15.75" thickBot="1" x14ac:dyDescent="0.3">
      <c r="A12" s="166" t="s">
        <v>321</v>
      </c>
      <c r="B12" s="167" t="str">
        <f>VLOOKUP(A12,SiteConfig!$A:$C,3,FALSE)</f>
        <v>L017</v>
      </c>
      <c r="C12" s="65">
        <v>8</v>
      </c>
      <c r="D12" s="62" t="s">
        <v>24</v>
      </c>
      <c r="E12" s="65" t="s">
        <v>10</v>
      </c>
      <c r="F12" s="62" t="s">
        <v>25</v>
      </c>
      <c r="G12" s="62"/>
      <c r="H12" s="62" t="s">
        <v>12</v>
      </c>
      <c r="I12" s="65" t="s">
        <v>13</v>
      </c>
      <c r="J12" s="66" t="s">
        <v>14</v>
      </c>
    </row>
    <row r="13" spans="1:10" ht="15.75" thickBot="1" x14ac:dyDescent="0.3">
      <c r="A13" s="166" t="s">
        <v>321</v>
      </c>
      <c r="B13" s="167" t="str">
        <f>VLOOKUP(A13,SiteConfig!$A:$C,3,FALSE)</f>
        <v>L017</v>
      </c>
      <c r="C13" s="65">
        <v>9</v>
      </c>
      <c r="D13" s="62">
        <v>4100</v>
      </c>
      <c r="E13" s="65" t="s">
        <v>10</v>
      </c>
      <c r="F13" s="62">
        <v>4132</v>
      </c>
      <c r="G13" s="62"/>
      <c r="H13" s="62" t="s">
        <v>19</v>
      </c>
      <c r="I13" s="65" t="s">
        <v>13</v>
      </c>
      <c r="J13" s="66" t="s">
        <v>14</v>
      </c>
    </row>
    <row r="14" spans="1:10" x14ac:dyDescent="0.25">
      <c r="A14" s="166" t="s">
        <v>321</v>
      </c>
      <c r="B14" s="167" t="str">
        <f>VLOOKUP(A14,SiteConfig!$A:$C,3,FALSE)</f>
        <v>L017</v>
      </c>
      <c r="C14" s="65">
        <v>10</v>
      </c>
      <c r="D14" s="62">
        <v>6001</v>
      </c>
      <c r="E14" s="65" t="s">
        <v>10</v>
      </c>
      <c r="F14" s="62">
        <v>6183</v>
      </c>
      <c r="G14" s="62"/>
      <c r="H14" s="62" t="s">
        <v>19</v>
      </c>
      <c r="I14" s="65" t="s">
        <v>14</v>
      </c>
      <c r="J14" s="66" t="s">
        <v>14</v>
      </c>
    </row>
    <row r="15" spans="1:10" x14ac:dyDescent="0.25">
      <c r="A15" s="64" t="s">
        <v>309</v>
      </c>
      <c r="B15" s="167" t="str">
        <f>VLOOKUP(A15,SiteConfig!$A:$C,3,FALSE)</f>
        <v>L022</v>
      </c>
      <c r="C15" s="65">
        <v>1</v>
      </c>
      <c r="D15" s="62" t="s">
        <v>27</v>
      </c>
      <c r="E15" s="65" t="s">
        <v>10</v>
      </c>
      <c r="F15" s="62" t="s">
        <v>28</v>
      </c>
      <c r="G15" s="62"/>
      <c r="H15" s="62" t="s">
        <v>12</v>
      </c>
      <c r="I15" s="65" t="s">
        <v>14</v>
      </c>
      <c r="J15" s="66" t="s">
        <v>14</v>
      </c>
    </row>
    <row r="16" spans="1:10" x14ac:dyDescent="0.25">
      <c r="A16" s="64" t="s">
        <v>309</v>
      </c>
      <c r="B16" s="167" t="str">
        <f>VLOOKUP(A16,SiteConfig!$A:$C,3,FALSE)</f>
        <v>L022</v>
      </c>
      <c r="C16" s="65">
        <v>2</v>
      </c>
      <c r="D16" s="62" t="s">
        <v>29</v>
      </c>
      <c r="E16" s="65" t="s">
        <v>10</v>
      </c>
      <c r="F16" s="62" t="s">
        <v>30</v>
      </c>
      <c r="G16" s="62" t="s">
        <v>31</v>
      </c>
      <c r="H16" s="62" t="s">
        <v>32</v>
      </c>
      <c r="I16" s="65" t="s">
        <v>14</v>
      </c>
      <c r="J16" s="66" t="s">
        <v>14</v>
      </c>
    </row>
    <row r="17" spans="1:10" x14ac:dyDescent="0.25">
      <c r="A17" s="64" t="s">
        <v>309</v>
      </c>
      <c r="B17" s="167" t="str">
        <f>VLOOKUP(A17,SiteConfig!$A:$C,3,FALSE)</f>
        <v>L022</v>
      </c>
      <c r="C17" s="65">
        <v>3</v>
      </c>
      <c r="D17" s="62" t="s">
        <v>33</v>
      </c>
      <c r="E17" s="65" t="s">
        <v>10</v>
      </c>
      <c r="F17" s="62" t="s">
        <v>34</v>
      </c>
      <c r="G17" s="62"/>
      <c r="H17" s="62" t="s">
        <v>35</v>
      </c>
      <c r="I17" s="65" t="s">
        <v>14</v>
      </c>
      <c r="J17" s="66" t="s">
        <v>14</v>
      </c>
    </row>
    <row r="18" spans="1:10" x14ac:dyDescent="0.25">
      <c r="A18" s="64" t="s">
        <v>309</v>
      </c>
      <c r="B18" s="167" t="str">
        <f>VLOOKUP(A18,SiteConfig!$A:$C,3,FALSE)</f>
        <v>L022</v>
      </c>
      <c r="C18" s="65">
        <v>4</v>
      </c>
      <c r="D18" s="62" t="s">
        <v>36</v>
      </c>
      <c r="E18" s="65" t="s">
        <v>10</v>
      </c>
      <c r="F18" s="62" t="s">
        <v>37</v>
      </c>
      <c r="G18" s="62"/>
      <c r="H18" s="62" t="s">
        <v>35</v>
      </c>
      <c r="I18" s="65" t="s">
        <v>14</v>
      </c>
      <c r="J18" s="66" t="s">
        <v>14</v>
      </c>
    </row>
    <row r="19" spans="1:10" x14ac:dyDescent="0.25">
      <c r="A19" s="64" t="s">
        <v>309</v>
      </c>
      <c r="B19" s="167" t="str">
        <f>VLOOKUP(A19,SiteConfig!$A:$C,3,FALSE)</f>
        <v>L022</v>
      </c>
      <c r="C19" s="65">
        <v>5</v>
      </c>
      <c r="D19" s="62" t="s">
        <v>38</v>
      </c>
      <c r="E19" s="65" t="s">
        <v>10</v>
      </c>
      <c r="F19" s="62" t="s">
        <v>39</v>
      </c>
      <c r="G19" s="62"/>
      <c r="H19" s="62" t="s">
        <v>12</v>
      </c>
      <c r="I19" s="65" t="s">
        <v>14</v>
      </c>
      <c r="J19" s="66" t="s">
        <v>14</v>
      </c>
    </row>
    <row r="20" spans="1:10" x14ac:dyDescent="0.25">
      <c r="A20" s="64" t="s">
        <v>309</v>
      </c>
      <c r="B20" s="167" t="str">
        <f>VLOOKUP(A20,SiteConfig!$A:$C,3,FALSE)</f>
        <v>L022</v>
      </c>
      <c r="C20" s="65">
        <v>6</v>
      </c>
      <c r="D20" s="62" t="s">
        <v>40</v>
      </c>
      <c r="E20" s="65" t="s">
        <v>10</v>
      </c>
      <c r="F20" s="62" t="s">
        <v>41</v>
      </c>
      <c r="G20" s="62"/>
      <c r="H20" s="62" t="s">
        <v>35</v>
      </c>
      <c r="I20" s="65" t="s">
        <v>14</v>
      </c>
      <c r="J20" s="66" t="s">
        <v>14</v>
      </c>
    </row>
    <row r="21" spans="1:10" x14ac:dyDescent="0.25">
      <c r="A21" s="64" t="s">
        <v>309</v>
      </c>
      <c r="B21" s="167" t="str">
        <f>VLOOKUP(A21,SiteConfig!$A:$C,3,FALSE)</f>
        <v>L022</v>
      </c>
      <c r="C21" s="65">
        <v>7</v>
      </c>
      <c r="D21" s="62" t="s">
        <v>42</v>
      </c>
      <c r="E21" s="65" t="s">
        <v>10</v>
      </c>
      <c r="F21" s="62" t="s">
        <v>43</v>
      </c>
      <c r="G21" s="62"/>
      <c r="H21" s="62" t="s">
        <v>35</v>
      </c>
      <c r="I21" s="65" t="s">
        <v>14</v>
      </c>
      <c r="J21" s="66" t="s">
        <v>14</v>
      </c>
    </row>
    <row r="22" spans="1:10" x14ac:dyDescent="0.25">
      <c r="A22" s="64" t="s">
        <v>309</v>
      </c>
      <c r="B22" s="167" t="str">
        <f>VLOOKUP(A22,SiteConfig!$A:$C,3,FALSE)</f>
        <v>L022</v>
      </c>
      <c r="C22" s="65">
        <v>8</v>
      </c>
      <c r="D22" s="62" t="s">
        <v>44</v>
      </c>
      <c r="E22" s="65" t="s">
        <v>10</v>
      </c>
      <c r="F22" s="62" t="s">
        <v>45</v>
      </c>
      <c r="G22" s="62"/>
      <c r="H22" s="62" t="s">
        <v>35</v>
      </c>
      <c r="I22" s="65" t="s">
        <v>14</v>
      </c>
      <c r="J22" s="66" t="s">
        <v>14</v>
      </c>
    </row>
    <row r="23" spans="1:10" x14ac:dyDescent="0.25">
      <c r="A23" s="64" t="s">
        <v>280</v>
      </c>
      <c r="B23" s="167" t="str">
        <f>VLOOKUP(A23,SiteConfig!$A:$C,3,FALSE)</f>
        <v>L002</v>
      </c>
      <c r="C23" s="65">
        <v>1</v>
      </c>
      <c r="D23" s="62">
        <v>1001</v>
      </c>
      <c r="E23" s="65" t="s">
        <v>10</v>
      </c>
      <c r="F23" s="62">
        <v>1527</v>
      </c>
      <c r="G23" s="62"/>
      <c r="H23" s="62" t="s">
        <v>19</v>
      </c>
      <c r="I23" s="65" t="s">
        <v>14</v>
      </c>
      <c r="J23" s="66" t="s">
        <v>14</v>
      </c>
    </row>
    <row r="24" spans="1:10" x14ac:dyDescent="0.25">
      <c r="A24" s="64" t="s">
        <v>280</v>
      </c>
      <c r="B24" s="167" t="str">
        <f>VLOOKUP(A24,SiteConfig!$A:$C,3,FALSE)</f>
        <v>L002</v>
      </c>
      <c r="C24" s="65">
        <v>2</v>
      </c>
      <c r="D24" s="62" t="s">
        <v>47</v>
      </c>
      <c r="E24" s="65" t="s">
        <v>10</v>
      </c>
      <c r="F24" s="62" t="s">
        <v>48</v>
      </c>
      <c r="G24" s="62" t="s">
        <v>31</v>
      </c>
      <c r="H24" s="62" t="s">
        <v>32</v>
      </c>
      <c r="I24" s="65" t="s">
        <v>14</v>
      </c>
      <c r="J24" s="66" t="s">
        <v>14</v>
      </c>
    </row>
    <row r="25" spans="1:10" x14ac:dyDescent="0.25">
      <c r="A25" s="64" t="s">
        <v>280</v>
      </c>
      <c r="B25" s="167" t="str">
        <f>VLOOKUP(A25,SiteConfig!$A:$C,3,FALSE)</f>
        <v>L002</v>
      </c>
      <c r="C25" s="65">
        <v>3</v>
      </c>
      <c r="D25" s="62">
        <v>2001</v>
      </c>
      <c r="E25" s="65" t="s">
        <v>10</v>
      </c>
      <c r="F25" s="62">
        <v>2143</v>
      </c>
      <c r="G25" s="62"/>
      <c r="H25" s="62" t="s">
        <v>49</v>
      </c>
      <c r="I25" s="65" t="s">
        <v>14</v>
      </c>
      <c r="J25" s="66" t="s">
        <v>14</v>
      </c>
    </row>
    <row r="26" spans="1:10" x14ac:dyDescent="0.25">
      <c r="A26" s="64" t="s">
        <v>280</v>
      </c>
      <c r="B26" s="167" t="str">
        <f>VLOOKUP(A26,SiteConfig!$A:$C,3,FALSE)</f>
        <v>L002</v>
      </c>
      <c r="C26" s="65">
        <v>4</v>
      </c>
      <c r="D26" s="62">
        <v>3000</v>
      </c>
      <c r="E26" s="65" t="s">
        <v>10</v>
      </c>
      <c r="F26" s="62">
        <v>3136</v>
      </c>
      <c r="G26" s="62"/>
      <c r="H26" s="62" t="s">
        <v>12</v>
      </c>
      <c r="I26" s="65" t="s">
        <v>14</v>
      </c>
      <c r="J26" s="66" t="s">
        <v>14</v>
      </c>
    </row>
    <row r="27" spans="1:10" x14ac:dyDescent="0.25">
      <c r="A27" s="64" t="s">
        <v>280</v>
      </c>
      <c r="B27" s="167" t="str">
        <f>VLOOKUP(A27,SiteConfig!$A:$C,3,FALSE)</f>
        <v>L002</v>
      </c>
      <c r="C27" s="65">
        <v>5</v>
      </c>
      <c r="D27" s="62" t="s">
        <v>50</v>
      </c>
      <c r="E27" s="65" t="s">
        <v>10</v>
      </c>
      <c r="F27" s="62" t="s">
        <v>51</v>
      </c>
      <c r="G27" s="62"/>
      <c r="H27" s="62" t="s">
        <v>12</v>
      </c>
      <c r="I27" s="65" t="s">
        <v>14</v>
      </c>
      <c r="J27" s="66" t="s">
        <v>14</v>
      </c>
    </row>
    <row r="28" spans="1:10" x14ac:dyDescent="0.25">
      <c r="A28" s="64" t="s">
        <v>280</v>
      </c>
      <c r="B28" s="167" t="str">
        <f>VLOOKUP(A28,SiteConfig!$A:$C,3,FALSE)</f>
        <v>L002</v>
      </c>
      <c r="C28" s="65">
        <v>6</v>
      </c>
      <c r="D28" s="62" t="s">
        <v>52</v>
      </c>
      <c r="E28" s="65" t="s">
        <v>10</v>
      </c>
      <c r="F28" s="62" t="s">
        <v>53</v>
      </c>
      <c r="G28" s="62" t="s">
        <v>31</v>
      </c>
      <c r="H28" s="62" t="s">
        <v>32</v>
      </c>
      <c r="I28" s="65" t="s">
        <v>14</v>
      </c>
      <c r="J28" s="66" t="s">
        <v>14</v>
      </c>
    </row>
    <row r="29" spans="1:10" x14ac:dyDescent="0.25">
      <c r="A29" s="64" t="s">
        <v>280</v>
      </c>
      <c r="B29" s="167" t="str">
        <f>VLOOKUP(A29,SiteConfig!$A:$C,3,FALSE)</f>
        <v>L002</v>
      </c>
      <c r="C29" s="65">
        <v>7</v>
      </c>
      <c r="D29" s="62">
        <v>4001</v>
      </c>
      <c r="E29" s="65" t="s">
        <v>10</v>
      </c>
      <c r="F29" s="62">
        <v>4211</v>
      </c>
      <c r="G29" s="62"/>
      <c r="H29" s="62" t="s">
        <v>12</v>
      </c>
      <c r="I29" s="65" t="s">
        <v>14</v>
      </c>
      <c r="J29" s="66" t="s">
        <v>14</v>
      </c>
    </row>
    <row r="30" spans="1:10" x14ac:dyDescent="0.25">
      <c r="A30" s="64" t="s">
        <v>280</v>
      </c>
      <c r="B30" s="167" t="str">
        <f>VLOOKUP(A30,SiteConfig!$A:$C,3,FALSE)</f>
        <v>L002</v>
      </c>
      <c r="C30" s="65">
        <v>8</v>
      </c>
      <c r="D30" s="62" t="s">
        <v>54</v>
      </c>
      <c r="E30" s="65" t="s">
        <v>10</v>
      </c>
      <c r="F30" s="62" t="s">
        <v>55</v>
      </c>
      <c r="G30" s="62" t="s">
        <v>31</v>
      </c>
      <c r="H30" s="62" t="s">
        <v>32</v>
      </c>
      <c r="I30" s="65" t="s">
        <v>14</v>
      </c>
      <c r="J30" s="66" t="s">
        <v>14</v>
      </c>
    </row>
    <row r="31" spans="1:10" x14ac:dyDescent="0.25">
      <c r="A31" s="64" t="s">
        <v>280</v>
      </c>
      <c r="B31" s="167" t="str">
        <f>VLOOKUP(A31,SiteConfig!$A:$C,3,FALSE)</f>
        <v>L002</v>
      </c>
      <c r="C31" s="65">
        <v>9</v>
      </c>
      <c r="D31" s="62" t="s">
        <v>56</v>
      </c>
      <c r="E31" s="65" t="s">
        <v>10</v>
      </c>
      <c r="F31" s="62">
        <v>5178</v>
      </c>
      <c r="G31" s="62"/>
      <c r="H31" s="62" t="s">
        <v>12</v>
      </c>
      <c r="I31" s="65" t="s">
        <v>14</v>
      </c>
      <c r="J31" s="66" t="s">
        <v>14</v>
      </c>
    </row>
    <row r="32" spans="1:10" x14ac:dyDescent="0.25">
      <c r="A32" s="64" t="s">
        <v>280</v>
      </c>
      <c r="B32" s="167" t="str">
        <f>VLOOKUP(A32,SiteConfig!$A:$C,3,FALSE)</f>
        <v>L002</v>
      </c>
      <c r="C32" s="65">
        <v>10</v>
      </c>
      <c r="D32" s="62" t="s">
        <v>57</v>
      </c>
      <c r="E32" s="65" t="s">
        <v>10</v>
      </c>
      <c r="F32" s="62" t="s">
        <v>58</v>
      </c>
      <c r="G32" s="62"/>
      <c r="H32" s="62" t="s">
        <v>12</v>
      </c>
      <c r="I32" s="65" t="s">
        <v>14</v>
      </c>
      <c r="J32" s="66" t="s">
        <v>14</v>
      </c>
    </row>
    <row r="33" spans="1:10" x14ac:dyDescent="0.25">
      <c r="A33" s="64" t="s">
        <v>280</v>
      </c>
      <c r="B33" s="167" t="str">
        <f>VLOOKUP(A33,SiteConfig!$A:$C,3,FALSE)</f>
        <v>L002</v>
      </c>
      <c r="C33" s="65">
        <v>11</v>
      </c>
      <c r="D33" s="62" t="s">
        <v>59</v>
      </c>
      <c r="E33" s="65" t="s">
        <v>10</v>
      </c>
      <c r="F33" s="62" t="s">
        <v>60</v>
      </c>
      <c r="G33" s="62"/>
      <c r="H33" s="62" t="s">
        <v>19</v>
      </c>
      <c r="I33" s="65" t="s">
        <v>14</v>
      </c>
      <c r="J33" s="66" t="s">
        <v>14</v>
      </c>
    </row>
    <row r="34" spans="1:10" x14ac:dyDescent="0.25">
      <c r="A34" s="64" t="s">
        <v>280</v>
      </c>
      <c r="B34" s="167" t="str">
        <f>VLOOKUP(A34,SiteConfig!$A:$C,3,FALSE)</f>
        <v>L002</v>
      </c>
      <c r="C34" s="65">
        <v>12</v>
      </c>
      <c r="D34" s="62" t="s">
        <v>61</v>
      </c>
      <c r="E34" s="65" t="s">
        <v>10</v>
      </c>
      <c r="F34" s="62" t="s">
        <v>62</v>
      </c>
      <c r="G34" s="62" t="s">
        <v>31</v>
      </c>
      <c r="H34" s="62" t="s">
        <v>32</v>
      </c>
      <c r="I34" s="65" t="s">
        <v>14</v>
      </c>
      <c r="J34" s="66" t="s">
        <v>14</v>
      </c>
    </row>
    <row r="35" spans="1:10" x14ac:dyDescent="0.25">
      <c r="A35" s="64" t="s">
        <v>280</v>
      </c>
      <c r="B35" s="167" t="str">
        <f>VLOOKUP(A35,SiteConfig!$A:$C,3,FALSE)</f>
        <v>L002</v>
      </c>
      <c r="C35" s="65">
        <v>13</v>
      </c>
      <c r="D35" s="62">
        <v>6000</v>
      </c>
      <c r="E35" s="65" t="s">
        <v>10</v>
      </c>
      <c r="F35" s="62">
        <v>6276</v>
      </c>
      <c r="G35" s="62"/>
      <c r="H35" s="62" t="s">
        <v>49</v>
      </c>
      <c r="I35" s="65" t="s">
        <v>14</v>
      </c>
      <c r="J35" s="66" t="s">
        <v>14</v>
      </c>
    </row>
    <row r="36" spans="1:10" x14ac:dyDescent="0.25">
      <c r="A36" s="64" t="s">
        <v>280</v>
      </c>
      <c r="B36" s="167" t="str">
        <f>VLOOKUP(A36,SiteConfig!$A:$C,3,FALSE)</f>
        <v>L002</v>
      </c>
      <c r="C36" s="65">
        <v>14</v>
      </c>
      <c r="D36" s="62">
        <v>7001</v>
      </c>
      <c r="E36" s="65" t="s">
        <v>10</v>
      </c>
      <c r="F36" s="62" t="s">
        <v>63</v>
      </c>
      <c r="G36" s="62"/>
      <c r="H36" s="62" t="s">
        <v>12</v>
      </c>
      <c r="I36" s="65" t="s">
        <v>14</v>
      </c>
      <c r="J36" s="66" t="s">
        <v>14</v>
      </c>
    </row>
    <row r="37" spans="1:10" x14ac:dyDescent="0.25">
      <c r="A37" s="64" t="s">
        <v>280</v>
      </c>
      <c r="B37" s="167" t="str">
        <f>VLOOKUP(A37,SiteConfig!$A:$C,3,FALSE)</f>
        <v>L002</v>
      </c>
      <c r="C37" s="65">
        <v>15</v>
      </c>
      <c r="D37" s="62" t="s">
        <v>64</v>
      </c>
      <c r="E37" s="65" t="s">
        <v>10</v>
      </c>
      <c r="F37" s="62" t="s">
        <v>65</v>
      </c>
      <c r="G37" s="62"/>
      <c r="H37" s="62" t="s">
        <v>12</v>
      </c>
      <c r="I37" s="65" t="s">
        <v>14</v>
      </c>
      <c r="J37" s="66" t="s">
        <v>14</v>
      </c>
    </row>
    <row r="38" spans="1:10" x14ac:dyDescent="0.25">
      <c r="A38" s="64" t="s">
        <v>280</v>
      </c>
      <c r="B38" s="167" t="str">
        <f>VLOOKUP(A38,SiteConfig!$A:$C,3,FALSE)</f>
        <v>L002</v>
      </c>
      <c r="C38" s="65">
        <v>16</v>
      </c>
      <c r="D38" s="62" t="s">
        <v>66</v>
      </c>
      <c r="E38" s="65" t="s">
        <v>10</v>
      </c>
      <c r="F38" s="62" t="s">
        <v>67</v>
      </c>
      <c r="G38" s="62" t="s">
        <v>31</v>
      </c>
      <c r="H38" s="62" t="s">
        <v>32</v>
      </c>
      <c r="I38" s="65" t="s">
        <v>14</v>
      </c>
      <c r="J38" s="66" t="s">
        <v>14</v>
      </c>
    </row>
    <row r="39" spans="1:10" x14ac:dyDescent="0.25">
      <c r="A39" s="64" t="s">
        <v>68</v>
      </c>
      <c r="B39" s="167" t="str">
        <f>VLOOKUP(A39,SiteConfig!$A:$C,3,FALSE)</f>
        <v>L029</v>
      </c>
      <c r="C39" s="65">
        <v>1</v>
      </c>
      <c r="D39" s="62" t="s">
        <v>69</v>
      </c>
      <c r="E39" s="65" t="s">
        <v>70</v>
      </c>
      <c r="F39" s="62" t="s">
        <v>71</v>
      </c>
      <c r="G39" s="62" t="s">
        <v>72</v>
      </c>
      <c r="H39" s="62" t="s">
        <v>73</v>
      </c>
      <c r="I39" s="65" t="s">
        <v>74</v>
      </c>
      <c r="J39" s="66" t="s">
        <v>75</v>
      </c>
    </row>
    <row r="40" spans="1:10" x14ac:dyDescent="0.25">
      <c r="A40" s="64" t="s">
        <v>68</v>
      </c>
      <c r="B40" s="167" t="str">
        <f>VLOOKUP(A40,SiteConfig!$A:$C,3,FALSE)</f>
        <v>L029</v>
      </c>
      <c r="C40" s="65">
        <v>2</v>
      </c>
      <c r="D40" s="62" t="s">
        <v>76</v>
      </c>
      <c r="E40" s="65" t="s">
        <v>70</v>
      </c>
      <c r="F40" s="62" t="s">
        <v>77</v>
      </c>
      <c r="G40" s="62"/>
      <c r="H40" s="62" t="s">
        <v>73</v>
      </c>
      <c r="I40" s="65" t="s">
        <v>74</v>
      </c>
      <c r="J40" s="66" t="s">
        <v>75</v>
      </c>
    </row>
    <row r="41" spans="1:10" x14ac:dyDescent="0.25">
      <c r="A41" s="64" t="s">
        <v>68</v>
      </c>
      <c r="B41" s="167" t="str">
        <f>VLOOKUP(A41,SiteConfig!$A:$C,3,FALSE)</f>
        <v>L029</v>
      </c>
      <c r="C41" s="65">
        <v>3</v>
      </c>
      <c r="D41" s="62" t="s">
        <v>78</v>
      </c>
      <c r="E41" s="65" t="s">
        <v>70</v>
      </c>
      <c r="F41" s="62" t="s">
        <v>79</v>
      </c>
      <c r="G41" s="62" t="s">
        <v>72</v>
      </c>
      <c r="H41" s="62" t="s">
        <v>73</v>
      </c>
      <c r="I41" s="65" t="s">
        <v>74</v>
      </c>
      <c r="J41" s="66" t="s">
        <v>75</v>
      </c>
    </row>
    <row r="42" spans="1:10" x14ac:dyDescent="0.25">
      <c r="A42" s="64" t="s">
        <v>68</v>
      </c>
      <c r="B42" s="167" t="str">
        <f>VLOOKUP(A42,SiteConfig!$A:$C,3,FALSE)</f>
        <v>L029</v>
      </c>
      <c r="C42" s="65">
        <v>4</v>
      </c>
      <c r="D42" s="62" t="s">
        <v>80</v>
      </c>
      <c r="E42" s="65" t="s">
        <v>70</v>
      </c>
      <c r="F42" s="62" t="s">
        <v>81</v>
      </c>
      <c r="G42" s="62"/>
      <c r="H42" s="62" t="s">
        <v>73</v>
      </c>
      <c r="I42" s="65" t="s">
        <v>75</v>
      </c>
      <c r="J42" s="66" t="s">
        <v>82</v>
      </c>
    </row>
    <row r="43" spans="1:10" x14ac:dyDescent="0.25">
      <c r="A43" s="64" t="s">
        <v>68</v>
      </c>
      <c r="B43" s="167" t="str">
        <f>VLOOKUP(A43,SiteConfig!$A:$C,3,FALSE)</f>
        <v>L029</v>
      </c>
      <c r="C43" s="65">
        <v>5</v>
      </c>
      <c r="D43" s="62" t="s">
        <v>83</v>
      </c>
      <c r="E43" s="65" t="s">
        <v>70</v>
      </c>
      <c r="F43" s="62" t="s">
        <v>84</v>
      </c>
      <c r="G43" s="62"/>
      <c r="H43" s="62" t="s">
        <v>73</v>
      </c>
      <c r="I43" s="65" t="s">
        <v>75</v>
      </c>
      <c r="J43" s="66" t="s">
        <v>82</v>
      </c>
    </row>
    <row r="44" spans="1:10" x14ac:dyDescent="0.25">
      <c r="A44" s="64" t="s">
        <v>68</v>
      </c>
      <c r="B44" s="167" t="str">
        <f>VLOOKUP(A44,SiteConfig!$A:$C,3,FALSE)</f>
        <v>L029</v>
      </c>
      <c r="C44" s="65">
        <v>6</v>
      </c>
      <c r="D44" s="62" t="s">
        <v>85</v>
      </c>
      <c r="E44" s="65" t="s">
        <v>70</v>
      </c>
      <c r="F44" s="62" t="s">
        <v>86</v>
      </c>
      <c r="G44" s="62"/>
      <c r="H44" s="62" t="s">
        <v>73</v>
      </c>
      <c r="I44" s="65" t="s">
        <v>74</v>
      </c>
      <c r="J44" s="66" t="s">
        <v>75</v>
      </c>
    </row>
    <row r="45" spans="1:10" x14ac:dyDescent="0.25">
      <c r="A45" s="64" t="s">
        <v>68</v>
      </c>
      <c r="B45" s="167" t="str">
        <f>VLOOKUP(A45,SiteConfig!$A:$C,3,FALSE)</f>
        <v>L029</v>
      </c>
      <c r="C45" s="65">
        <v>7</v>
      </c>
      <c r="D45" s="62" t="s">
        <v>87</v>
      </c>
      <c r="E45" s="65" t="s">
        <v>70</v>
      </c>
      <c r="F45" s="62" t="s">
        <v>88</v>
      </c>
      <c r="G45" s="62"/>
      <c r="H45" s="62" t="s">
        <v>73</v>
      </c>
      <c r="I45" s="65" t="s">
        <v>75</v>
      </c>
      <c r="J45" s="66" t="s">
        <v>82</v>
      </c>
    </row>
    <row r="46" spans="1:10" x14ac:dyDescent="0.25">
      <c r="A46" s="64" t="s">
        <v>68</v>
      </c>
      <c r="B46" s="167" t="str">
        <f>VLOOKUP(A46,SiteConfig!$A:$C,3,FALSE)</f>
        <v>L029</v>
      </c>
      <c r="C46" s="65">
        <v>8</v>
      </c>
      <c r="D46" s="62" t="s">
        <v>89</v>
      </c>
      <c r="E46" s="65" t="s">
        <v>70</v>
      </c>
      <c r="F46" s="62" t="s">
        <v>90</v>
      </c>
      <c r="G46" s="62"/>
      <c r="H46" s="62" t="s">
        <v>73</v>
      </c>
      <c r="I46" s="65" t="s">
        <v>75</v>
      </c>
      <c r="J46" s="66" t="s">
        <v>82</v>
      </c>
    </row>
    <row r="47" spans="1:10" x14ac:dyDescent="0.25">
      <c r="A47" s="64" t="s">
        <v>68</v>
      </c>
      <c r="B47" s="167" t="str">
        <f>VLOOKUP(A47,SiteConfig!$A:$C,3,FALSE)</f>
        <v>L029</v>
      </c>
      <c r="C47" s="65">
        <v>9</v>
      </c>
      <c r="D47" s="62" t="s">
        <v>91</v>
      </c>
      <c r="E47" s="65" t="s">
        <v>70</v>
      </c>
      <c r="F47" s="62" t="s">
        <v>92</v>
      </c>
      <c r="G47" s="62"/>
      <c r="H47" s="62" t="s">
        <v>93</v>
      </c>
      <c r="I47" s="65" t="s">
        <v>74</v>
      </c>
      <c r="J47" s="66" t="s">
        <v>82</v>
      </c>
    </row>
    <row r="48" spans="1:10" x14ac:dyDescent="0.25">
      <c r="A48" s="64" t="s">
        <v>68</v>
      </c>
      <c r="B48" s="167" t="str">
        <f>VLOOKUP(A48,SiteConfig!$A:$C,3,FALSE)</f>
        <v>L029</v>
      </c>
      <c r="C48" s="65">
        <v>10</v>
      </c>
      <c r="D48" s="62" t="s">
        <v>94</v>
      </c>
      <c r="E48" s="65" t="s">
        <v>70</v>
      </c>
      <c r="F48" s="62" t="s">
        <v>95</v>
      </c>
      <c r="G48" s="62"/>
      <c r="H48" s="62" t="s">
        <v>93</v>
      </c>
      <c r="I48" s="65" t="s">
        <v>74</v>
      </c>
      <c r="J48" s="66" t="s">
        <v>75</v>
      </c>
    </row>
    <row r="49" spans="1:10" x14ac:dyDescent="0.25">
      <c r="A49" s="64" t="s">
        <v>96</v>
      </c>
      <c r="B49" s="167" t="str">
        <f>VLOOKUP(A49,SiteConfig!$A:$C,3,FALSE)</f>
        <v>L025</v>
      </c>
      <c r="C49" s="65">
        <v>1</v>
      </c>
      <c r="D49" s="62">
        <v>4000</v>
      </c>
      <c r="E49" s="65" t="s">
        <v>70</v>
      </c>
      <c r="F49" s="62">
        <v>4026</v>
      </c>
      <c r="G49" s="62"/>
      <c r="H49" s="62" t="s">
        <v>97</v>
      </c>
      <c r="I49" s="65" t="s">
        <v>74</v>
      </c>
      <c r="J49" s="66"/>
    </row>
    <row r="50" spans="1:10" x14ac:dyDescent="0.25">
      <c r="A50" s="64" t="s">
        <v>96</v>
      </c>
      <c r="B50" s="167" t="str">
        <f>VLOOKUP(A50,SiteConfig!$A:$C,3,FALSE)</f>
        <v>L025</v>
      </c>
      <c r="C50" s="65">
        <v>2</v>
      </c>
      <c r="D50" s="62">
        <v>4100</v>
      </c>
      <c r="E50" s="65" t="s">
        <v>70</v>
      </c>
      <c r="F50" s="62">
        <v>4121</v>
      </c>
      <c r="G50" s="62"/>
      <c r="H50" s="62" t="s">
        <v>97</v>
      </c>
      <c r="I50" s="65" t="s">
        <v>74</v>
      </c>
      <c r="J50" s="66"/>
    </row>
    <row r="51" spans="1:10" x14ac:dyDescent="0.25">
      <c r="A51" s="64" t="s">
        <v>96</v>
      </c>
      <c r="B51" s="167" t="str">
        <f>VLOOKUP(A51,SiteConfig!$A:$C,3,FALSE)</f>
        <v>L025</v>
      </c>
      <c r="C51" s="65">
        <v>3</v>
      </c>
      <c r="D51" s="62">
        <v>4200</v>
      </c>
      <c r="E51" s="65" t="s">
        <v>70</v>
      </c>
      <c r="F51" s="62">
        <v>4215</v>
      </c>
      <c r="G51" s="62"/>
      <c r="H51" s="62" t="s">
        <v>97</v>
      </c>
      <c r="I51" s="65" t="s">
        <v>74</v>
      </c>
      <c r="J51" s="66"/>
    </row>
    <row r="52" spans="1:10" x14ac:dyDescent="0.25">
      <c r="A52" s="64" t="s">
        <v>96</v>
      </c>
      <c r="B52" s="167" t="str">
        <f>VLOOKUP(A52,SiteConfig!$A:$C,3,FALSE)</f>
        <v>L025</v>
      </c>
      <c r="C52" s="65">
        <v>4</v>
      </c>
      <c r="D52" s="62">
        <v>4300</v>
      </c>
      <c r="E52" s="65" t="s">
        <v>70</v>
      </c>
      <c r="F52" s="62">
        <v>4330</v>
      </c>
      <c r="G52" s="62"/>
      <c r="H52" s="62" t="s">
        <v>97</v>
      </c>
      <c r="I52" s="65" t="s">
        <v>74</v>
      </c>
      <c r="J52" s="66"/>
    </row>
    <row r="53" spans="1:10" x14ac:dyDescent="0.25">
      <c r="A53" s="64" t="s">
        <v>96</v>
      </c>
      <c r="B53" s="167" t="str">
        <f>VLOOKUP(A53,SiteConfig!$A:$C,3,FALSE)</f>
        <v>L025</v>
      </c>
      <c r="C53" s="65">
        <v>5</v>
      </c>
      <c r="D53" s="62">
        <v>4400</v>
      </c>
      <c r="E53" s="65" t="s">
        <v>70</v>
      </c>
      <c r="F53" s="62">
        <v>4480</v>
      </c>
      <c r="G53" s="62"/>
      <c r="H53" s="62" t="s">
        <v>97</v>
      </c>
      <c r="I53" s="65" t="s">
        <v>74</v>
      </c>
      <c r="J53" s="66"/>
    </row>
    <row r="54" spans="1:10" x14ac:dyDescent="0.25">
      <c r="A54" s="64" t="s">
        <v>96</v>
      </c>
      <c r="B54" s="167" t="str">
        <f>VLOOKUP(A54,SiteConfig!$A:$C,3,FALSE)</f>
        <v>L025</v>
      </c>
      <c r="C54" s="65">
        <v>6</v>
      </c>
      <c r="D54" s="62">
        <v>8000</v>
      </c>
      <c r="E54" s="65" t="s">
        <v>70</v>
      </c>
      <c r="F54" s="62">
        <v>8033</v>
      </c>
      <c r="G54" s="62"/>
      <c r="H54" s="62" t="s">
        <v>97</v>
      </c>
      <c r="I54" s="65" t="s">
        <v>74</v>
      </c>
      <c r="J54" s="66"/>
    </row>
    <row r="55" spans="1:10" x14ac:dyDescent="0.25">
      <c r="A55" s="64" t="s">
        <v>96</v>
      </c>
      <c r="B55" s="167" t="str">
        <f>VLOOKUP(A55,SiteConfig!$A:$C,3,FALSE)</f>
        <v>L025</v>
      </c>
      <c r="C55" s="65">
        <v>7</v>
      </c>
      <c r="D55" s="62">
        <v>8100</v>
      </c>
      <c r="E55" s="65" t="s">
        <v>70</v>
      </c>
      <c r="F55" s="62">
        <v>8185</v>
      </c>
      <c r="G55" s="62"/>
      <c r="H55" s="62" t="s">
        <v>97</v>
      </c>
      <c r="I55" s="65" t="s">
        <v>74</v>
      </c>
      <c r="J55" s="66"/>
    </row>
    <row r="56" spans="1:10" x14ac:dyDescent="0.25">
      <c r="A56" s="64" t="s">
        <v>96</v>
      </c>
      <c r="B56" s="167" t="str">
        <f>VLOOKUP(A56,SiteConfig!$A:$C,3,FALSE)</f>
        <v>L025</v>
      </c>
      <c r="C56" s="65">
        <v>8</v>
      </c>
      <c r="D56" s="62">
        <v>8300</v>
      </c>
      <c r="E56" s="65" t="s">
        <v>70</v>
      </c>
      <c r="F56" s="62">
        <v>8316</v>
      </c>
      <c r="G56" s="62"/>
      <c r="H56" s="62" t="s">
        <v>97</v>
      </c>
      <c r="I56" s="65" t="s">
        <v>74</v>
      </c>
      <c r="J56" s="66"/>
    </row>
    <row r="57" spans="1:10" x14ac:dyDescent="0.25">
      <c r="A57" s="64" t="s">
        <v>96</v>
      </c>
      <c r="B57" s="167" t="str">
        <f>VLOOKUP(A57,SiteConfig!$A:$C,3,FALSE)</f>
        <v>L025</v>
      </c>
      <c r="C57" s="65">
        <v>9</v>
      </c>
      <c r="D57" s="62">
        <v>8400</v>
      </c>
      <c r="E57" s="65" t="s">
        <v>70</v>
      </c>
      <c r="F57" s="62">
        <v>8428</v>
      </c>
      <c r="G57" s="62"/>
      <c r="H57" s="62" t="s">
        <v>97</v>
      </c>
      <c r="I57" s="65" t="s">
        <v>74</v>
      </c>
      <c r="J57" s="66"/>
    </row>
    <row r="58" spans="1:10" x14ac:dyDescent="0.25">
      <c r="A58" s="64" t="s">
        <v>96</v>
      </c>
      <c r="B58" s="167" t="str">
        <f>VLOOKUP(A58,SiteConfig!$A:$C,3,FALSE)</f>
        <v>L025</v>
      </c>
      <c r="C58" s="65">
        <v>10</v>
      </c>
      <c r="D58" s="62">
        <v>8500</v>
      </c>
      <c r="E58" s="65" t="s">
        <v>70</v>
      </c>
      <c r="F58" s="62">
        <v>8531</v>
      </c>
      <c r="G58" s="62"/>
      <c r="H58" s="62" t="s">
        <v>97</v>
      </c>
      <c r="I58" s="65" t="s">
        <v>74</v>
      </c>
      <c r="J58" s="66"/>
    </row>
    <row r="59" spans="1:10" x14ac:dyDescent="0.25">
      <c r="A59" s="64" t="s">
        <v>96</v>
      </c>
      <c r="B59" s="167" t="str">
        <f>VLOOKUP(A59,SiteConfig!$A:$C,3,FALSE)</f>
        <v>L025</v>
      </c>
      <c r="C59" s="65">
        <v>11</v>
      </c>
      <c r="D59" s="62" t="s">
        <v>20</v>
      </c>
      <c r="E59" s="65" t="s">
        <v>70</v>
      </c>
      <c r="F59" s="62" t="s">
        <v>98</v>
      </c>
      <c r="G59" s="62"/>
      <c r="H59" s="62" t="s">
        <v>73</v>
      </c>
      <c r="I59" s="65" t="s">
        <v>74</v>
      </c>
      <c r="J59" s="66"/>
    </row>
    <row r="60" spans="1:10" x14ac:dyDescent="0.25">
      <c r="A60" s="64" t="s">
        <v>96</v>
      </c>
      <c r="B60" s="167" t="str">
        <f>VLOOKUP(A60,SiteConfig!$A:$C,3,FALSE)</f>
        <v>L025</v>
      </c>
      <c r="C60" s="65">
        <v>12</v>
      </c>
      <c r="D60" s="62" t="s">
        <v>99</v>
      </c>
      <c r="E60" s="65" t="s">
        <v>70</v>
      </c>
      <c r="F60" s="62" t="s">
        <v>100</v>
      </c>
      <c r="G60" s="62"/>
      <c r="H60" s="62" t="s">
        <v>73</v>
      </c>
      <c r="I60" s="65" t="s">
        <v>74</v>
      </c>
      <c r="J60" s="66"/>
    </row>
    <row r="61" spans="1:10" x14ac:dyDescent="0.25">
      <c r="A61" s="64" t="s">
        <v>96</v>
      </c>
      <c r="B61" s="167" t="str">
        <f>VLOOKUP(A61,SiteConfig!$A:$C,3,FALSE)</f>
        <v>L025</v>
      </c>
      <c r="C61" s="65">
        <v>13</v>
      </c>
      <c r="D61" s="62" t="s">
        <v>101</v>
      </c>
      <c r="E61" s="65" t="s">
        <v>70</v>
      </c>
      <c r="F61" s="62" t="s">
        <v>102</v>
      </c>
      <c r="G61" s="62"/>
      <c r="H61" s="62" t="s">
        <v>73</v>
      </c>
      <c r="I61" s="65" t="s">
        <v>74</v>
      </c>
      <c r="J61" s="66"/>
    </row>
    <row r="62" spans="1:10" x14ac:dyDescent="0.25">
      <c r="A62" s="64" t="s">
        <v>103</v>
      </c>
      <c r="B62" s="167" t="str">
        <f>VLOOKUP(A62,SiteConfig!$A:$C,3,FALSE)</f>
        <v>L001</v>
      </c>
      <c r="C62" s="65">
        <v>1</v>
      </c>
      <c r="D62" s="62">
        <v>2000</v>
      </c>
      <c r="E62" s="65" t="s">
        <v>70</v>
      </c>
      <c r="F62" s="62">
        <v>2088</v>
      </c>
      <c r="G62" s="62"/>
      <c r="H62" s="62" t="s">
        <v>97</v>
      </c>
      <c r="I62" s="65" t="s">
        <v>74</v>
      </c>
      <c r="J62" s="66"/>
    </row>
    <row r="63" spans="1:10" x14ac:dyDescent="0.25">
      <c r="A63" s="64" t="s">
        <v>103</v>
      </c>
      <c r="B63" s="167" t="str">
        <f>VLOOKUP(A63,SiteConfig!$A:$C,3,FALSE)</f>
        <v>L001</v>
      </c>
      <c r="C63" s="65">
        <v>2</v>
      </c>
      <c r="D63" s="62">
        <v>2100</v>
      </c>
      <c r="E63" s="65" t="s">
        <v>70</v>
      </c>
      <c r="F63" s="62">
        <v>2257</v>
      </c>
      <c r="G63" s="62"/>
      <c r="H63" s="62" t="s">
        <v>97</v>
      </c>
      <c r="I63" s="65" t="s">
        <v>74</v>
      </c>
      <c r="J63" s="66"/>
    </row>
    <row r="64" spans="1:10" x14ac:dyDescent="0.25">
      <c r="A64" s="64" t="s">
        <v>103</v>
      </c>
      <c r="B64" s="167" t="str">
        <f>VLOOKUP(A64,SiteConfig!$A:$C,3,FALSE)</f>
        <v>L001</v>
      </c>
      <c r="C64" s="65">
        <v>3</v>
      </c>
      <c r="D64" s="62">
        <v>3001</v>
      </c>
      <c r="E64" s="65" t="s">
        <v>70</v>
      </c>
      <c r="F64" s="62">
        <v>3311</v>
      </c>
      <c r="G64" s="62"/>
      <c r="H64" s="62" t="s">
        <v>97</v>
      </c>
      <c r="I64" s="65" t="s">
        <v>74</v>
      </c>
      <c r="J64" s="66"/>
    </row>
    <row r="65" spans="1:10" x14ac:dyDescent="0.25">
      <c r="A65" s="64" t="s">
        <v>103</v>
      </c>
      <c r="B65" s="167" t="str">
        <f>VLOOKUP(A65,SiteConfig!$A:$C,3,FALSE)</f>
        <v>L001</v>
      </c>
      <c r="C65" s="65">
        <v>4</v>
      </c>
      <c r="D65" s="62">
        <v>4001</v>
      </c>
      <c r="E65" s="65" t="s">
        <v>70</v>
      </c>
      <c r="F65" s="62">
        <v>4087</v>
      </c>
      <c r="G65" s="62"/>
      <c r="H65" s="62" t="s">
        <v>97</v>
      </c>
      <c r="I65" s="65" t="s">
        <v>74</v>
      </c>
      <c r="J65" s="66"/>
    </row>
    <row r="66" spans="1:10" x14ac:dyDescent="0.25">
      <c r="A66" s="64" t="s">
        <v>103</v>
      </c>
      <c r="B66" s="167" t="str">
        <f>VLOOKUP(A66,SiteConfig!$A:$C,3,FALSE)</f>
        <v>L001</v>
      </c>
      <c r="C66" s="65">
        <v>5</v>
      </c>
      <c r="D66" s="62" t="s">
        <v>104</v>
      </c>
      <c r="E66" s="65" t="s">
        <v>70</v>
      </c>
      <c r="F66" s="62" t="s">
        <v>105</v>
      </c>
      <c r="G66" s="62"/>
      <c r="H66" s="62" t="s">
        <v>97</v>
      </c>
      <c r="I66" s="65" t="s">
        <v>74</v>
      </c>
      <c r="J66" s="66"/>
    </row>
    <row r="67" spans="1:10" x14ac:dyDescent="0.25">
      <c r="A67" s="64" t="s">
        <v>103</v>
      </c>
      <c r="B67" s="167" t="str">
        <f>VLOOKUP(A67,SiteConfig!$A:$C,3,FALSE)</f>
        <v>L001</v>
      </c>
      <c r="C67" s="65">
        <v>6</v>
      </c>
      <c r="D67" s="62">
        <v>6001</v>
      </c>
      <c r="E67" s="65" t="s">
        <v>70</v>
      </c>
      <c r="F67" s="62" t="s">
        <v>106</v>
      </c>
      <c r="G67" s="62"/>
      <c r="H67" s="62" t="s">
        <v>97</v>
      </c>
      <c r="I67" s="65" t="s">
        <v>74</v>
      </c>
      <c r="J67" s="66"/>
    </row>
    <row r="68" spans="1:10" x14ac:dyDescent="0.25">
      <c r="A68" s="64" t="s">
        <v>103</v>
      </c>
      <c r="B68" s="167" t="str">
        <f>VLOOKUP(A68,SiteConfig!$A:$C,3,FALSE)</f>
        <v>L001</v>
      </c>
      <c r="C68" s="65">
        <v>7</v>
      </c>
      <c r="D68" s="62">
        <v>7001</v>
      </c>
      <c r="E68" s="65" t="s">
        <v>70</v>
      </c>
      <c r="F68" s="62">
        <v>7213</v>
      </c>
      <c r="G68" s="62"/>
      <c r="H68" s="62" t="s">
        <v>97</v>
      </c>
      <c r="I68" s="65" t="s">
        <v>74</v>
      </c>
      <c r="J68" s="66"/>
    </row>
    <row r="69" spans="1:10" x14ac:dyDescent="0.25">
      <c r="A69" s="64" t="s">
        <v>103</v>
      </c>
      <c r="B69" s="167" t="str">
        <f>VLOOKUP(A69,SiteConfig!$A:$C,3,FALSE)</f>
        <v>L001</v>
      </c>
      <c r="C69" s="65">
        <v>8</v>
      </c>
      <c r="D69" s="62">
        <v>8000</v>
      </c>
      <c r="E69" s="65" t="s">
        <v>70</v>
      </c>
      <c r="F69" s="62">
        <v>8141</v>
      </c>
      <c r="G69" s="62"/>
      <c r="H69" s="62" t="s">
        <v>97</v>
      </c>
      <c r="I69" s="65" t="s">
        <v>74</v>
      </c>
      <c r="J69" s="66"/>
    </row>
    <row r="70" spans="1:10" x14ac:dyDescent="0.25">
      <c r="A70" s="64" t="s">
        <v>103</v>
      </c>
      <c r="B70" s="167" t="str">
        <f>VLOOKUP(A70,SiteConfig!$A:$C,3,FALSE)</f>
        <v>L001</v>
      </c>
      <c r="C70" s="65">
        <v>9</v>
      </c>
      <c r="D70" s="62" t="s">
        <v>107</v>
      </c>
      <c r="E70" s="65" t="s">
        <v>70</v>
      </c>
      <c r="F70" s="62" t="s">
        <v>108</v>
      </c>
      <c r="G70" s="62"/>
      <c r="H70" s="62" t="s">
        <v>73</v>
      </c>
      <c r="I70" s="65" t="s">
        <v>74</v>
      </c>
      <c r="J70" s="66"/>
    </row>
    <row r="71" spans="1:10" x14ac:dyDescent="0.25">
      <c r="A71" s="64" t="s">
        <v>109</v>
      </c>
      <c r="B71" s="167" t="str">
        <f>VLOOKUP(A71,SiteConfig!$A:$C,3,FALSE)</f>
        <v>L004</v>
      </c>
      <c r="C71" s="65">
        <v>1</v>
      </c>
      <c r="D71" s="62">
        <v>1000</v>
      </c>
      <c r="E71" s="65" t="s">
        <v>70</v>
      </c>
      <c r="F71" s="62">
        <v>1109</v>
      </c>
      <c r="G71" s="62"/>
      <c r="H71" s="62" t="s">
        <v>97</v>
      </c>
      <c r="I71" s="65" t="s">
        <v>74</v>
      </c>
      <c r="J71" s="66"/>
    </row>
    <row r="72" spans="1:10" x14ac:dyDescent="0.25">
      <c r="A72" s="64" t="s">
        <v>109</v>
      </c>
      <c r="B72" s="167" t="str">
        <f>VLOOKUP(A72,SiteConfig!$A:$C,3,FALSE)</f>
        <v>L004</v>
      </c>
      <c r="C72" s="65">
        <v>2</v>
      </c>
      <c r="D72" s="62">
        <v>1200</v>
      </c>
      <c r="E72" s="65" t="s">
        <v>70</v>
      </c>
      <c r="F72" s="62">
        <v>1281</v>
      </c>
      <c r="G72" s="62"/>
      <c r="H72" s="62" t="s">
        <v>97</v>
      </c>
      <c r="I72" s="65" t="s">
        <v>74</v>
      </c>
      <c r="J72" s="66"/>
    </row>
    <row r="73" spans="1:10" x14ac:dyDescent="0.25">
      <c r="A73" s="64" t="s">
        <v>109</v>
      </c>
      <c r="B73" s="167" t="str">
        <f>VLOOKUP(A73,SiteConfig!$A:$C,3,FALSE)</f>
        <v>L004</v>
      </c>
      <c r="C73" s="65">
        <v>3</v>
      </c>
      <c r="D73" s="62">
        <v>1300</v>
      </c>
      <c r="E73" s="65" t="s">
        <v>70</v>
      </c>
      <c r="F73" s="62">
        <v>1391</v>
      </c>
      <c r="G73" s="62"/>
      <c r="H73" s="62" t="s">
        <v>97</v>
      </c>
      <c r="I73" s="65" t="s">
        <v>74</v>
      </c>
      <c r="J73" s="66"/>
    </row>
    <row r="74" spans="1:10" x14ac:dyDescent="0.25">
      <c r="A74" s="64" t="s">
        <v>109</v>
      </c>
      <c r="B74" s="167" t="str">
        <f>VLOOKUP(A74,SiteConfig!$A:$C,3,FALSE)</f>
        <v>L004</v>
      </c>
      <c r="C74" s="65">
        <v>4</v>
      </c>
      <c r="D74" s="62">
        <v>4000</v>
      </c>
      <c r="E74" s="65" t="s">
        <v>70</v>
      </c>
      <c r="F74" s="62">
        <v>4218</v>
      </c>
      <c r="G74" s="62"/>
      <c r="H74" s="62" t="s">
        <v>97</v>
      </c>
      <c r="I74" s="65" t="s">
        <v>74</v>
      </c>
      <c r="J74" s="66"/>
    </row>
    <row r="75" spans="1:10" x14ac:dyDescent="0.25">
      <c r="A75" s="64" t="s">
        <v>109</v>
      </c>
      <c r="B75" s="167" t="str">
        <f>VLOOKUP(A75,SiteConfig!$A:$C,3,FALSE)</f>
        <v>L004</v>
      </c>
      <c r="C75" s="65">
        <v>5</v>
      </c>
      <c r="D75" s="62" t="s">
        <v>22</v>
      </c>
      <c r="E75" s="65" t="s">
        <v>70</v>
      </c>
      <c r="F75" s="62" t="s">
        <v>110</v>
      </c>
      <c r="G75" s="62"/>
      <c r="H75" s="62" t="s">
        <v>73</v>
      </c>
      <c r="I75" s="65" t="s">
        <v>74</v>
      </c>
      <c r="J75" s="66"/>
    </row>
    <row r="76" spans="1:10" x14ac:dyDescent="0.25">
      <c r="A76" s="64" t="s">
        <v>290</v>
      </c>
      <c r="B76" s="167" t="str">
        <f>VLOOKUP(A76,SiteConfig!$A:$C,3,FALSE)</f>
        <v>L003</v>
      </c>
      <c r="C76" s="65">
        <v>1</v>
      </c>
      <c r="D76" s="62">
        <v>1001</v>
      </c>
      <c r="E76" s="65" t="s">
        <v>10</v>
      </c>
      <c r="F76" s="62">
        <v>1030</v>
      </c>
      <c r="G76" s="62" t="s">
        <v>112</v>
      </c>
      <c r="H76" s="62" t="s">
        <v>19</v>
      </c>
      <c r="I76" s="65" t="s">
        <v>14</v>
      </c>
      <c r="J76" s="66"/>
    </row>
    <row r="77" spans="1:10" x14ac:dyDescent="0.25">
      <c r="A77" s="64" t="s">
        <v>290</v>
      </c>
      <c r="B77" s="167" t="str">
        <f>VLOOKUP(A77,SiteConfig!$A:$C,3,FALSE)</f>
        <v>L003</v>
      </c>
      <c r="C77" s="65">
        <v>2</v>
      </c>
      <c r="D77" s="62">
        <v>12001</v>
      </c>
      <c r="E77" s="65" t="s">
        <v>10</v>
      </c>
      <c r="F77" s="62">
        <v>12052</v>
      </c>
      <c r="G77" s="62"/>
      <c r="H77" s="62" t="s">
        <v>19</v>
      </c>
      <c r="I77" s="65" t="s">
        <v>14</v>
      </c>
      <c r="J77" s="66"/>
    </row>
    <row r="78" spans="1:10" x14ac:dyDescent="0.25">
      <c r="A78" s="64" t="s">
        <v>290</v>
      </c>
      <c r="B78" s="167" t="str">
        <f>VLOOKUP(A78,SiteConfig!$A:$C,3,FALSE)</f>
        <v>L003</v>
      </c>
      <c r="C78" s="65">
        <v>3</v>
      </c>
      <c r="D78" s="62">
        <v>13001</v>
      </c>
      <c r="E78" s="65" t="s">
        <v>10</v>
      </c>
      <c r="F78" s="62">
        <v>13068</v>
      </c>
      <c r="G78" s="62"/>
      <c r="H78" s="62" t="s">
        <v>19</v>
      </c>
      <c r="I78" s="65" t="s">
        <v>14</v>
      </c>
      <c r="J78" s="66"/>
    </row>
    <row r="79" spans="1:10" x14ac:dyDescent="0.25">
      <c r="A79" s="64" t="s">
        <v>290</v>
      </c>
      <c r="B79" s="167" t="str">
        <f>VLOOKUP(A79,SiteConfig!$A:$C,3,FALSE)</f>
        <v>L003</v>
      </c>
      <c r="C79" s="65">
        <v>4</v>
      </c>
      <c r="D79" s="62">
        <v>14001</v>
      </c>
      <c r="E79" s="65" t="s">
        <v>10</v>
      </c>
      <c r="F79" s="62">
        <v>14027</v>
      </c>
      <c r="G79" s="62"/>
      <c r="H79" s="62" t="s">
        <v>19</v>
      </c>
      <c r="I79" s="65" t="s">
        <v>14</v>
      </c>
      <c r="J79" s="66"/>
    </row>
    <row r="80" spans="1:10" x14ac:dyDescent="0.25">
      <c r="A80" s="64" t="s">
        <v>290</v>
      </c>
      <c r="B80" s="167" t="str">
        <f>VLOOKUP(A80,SiteConfig!$A:$C,3,FALSE)</f>
        <v>L003</v>
      </c>
      <c r="C80" s="65">
        <v>5</v>
      </c>
      <c r="D80" s="62">
        <v>15001</v>
      </c>
      <c r="E80" s="65" t="s">
        <v>10</v>
      </c>
      <c r="F80" s="62">
        <v>15064</v>
      </c>
      <c r="G80" s="62"/>
      <c r="H80" s="62" t="s">
        <v>19</v>
      </c>
      <c r="I80" s="65" t="s">
        <v>14</v>
      </c>
      <c r="J80" s="66"/>
    </row>
    <row r="81" spans="1:10" x14ac:dyDescent="0.25">
      <c r="A81" s="64" t="s">
        <v>290</v>
      </c>
      <c r="B81" s="167" t="str">
        <f>VLOOKUP(A81,SiteConfig!$A:$C,3,FALSE)</f>
        <v>L003</v>
      </c>
      <c r="C81" s="65">
        <v>6</v>
      </c>
      <c r="D81" s="62">
        <v>16001</v>
      </c>
      <c r="E81" s="65" t="s">
        <v>10</v>
      </c>
      <c r="F81" s="62">
        <v>16053</v>
      </c>
      <c r="G81" s="62"/>
      <c r="H81" s="62" t="s">
        <v>19</v>
      </c>
      <c r="I81" s="65" t="s">
        <v>14</v>
      </c>
      <c r="J81" s="66"/>
    </row>
    <row r="82" spans="1:10" x14ac:dyDescent="0.25">
      <c r="A82" s="64" t="s">
        <v>290</v>
      </c>
      <c r="B82" s="167" t="str">
        <f>VLOOKUP(A82,SiteConfig!$A:$C,3,FALSE)</f>
        <v>L003</v>
      </c>
      <c r="C82" s="65">
        <v>7</v>
      </c>
      <c r="D82" s="62" t="s">
        <v>113</v>
      </c>
      <c r="E82" s="65" t="s">
        <v>10</v>
      </c>
      <c r="F82" s="62" t="s">
        <v>114</v>
      </c>
      <c r="G82" s="62"/>
      <c r="H82" s="62" t="s">
        <v>12</v>
      </c>
      <c r="I82" s="65" t="s">
        <v>14</v>
      </c>
      <c r="J82" s="66"/>
    </row>
    <row r="83" spans="1:10" x14ac:dyDescent="0.25">
      <c r="A83" s="64" t="s">
        <v>290</v>
      </c>
      <c r="B83" s="167" t="str">
        <f>VLOOKUP(A83,SiteConfig!$A:$C,3,FALSE)</f>
        <v>L003</v>
      </c>
      <c r="C83" s="65">
        <v>8</v>
      </c>
      <c r="D83" s="62" t="s">
        <v>115</v>
      </c>
      <c r="E83" s="65" t="s">
        <v>10</v>
      </c>
      <c r="F83" s="62" t="s">
        <v>116</v>
      </c>
      <c r="G83" s="62" t="s">
        <v>31</v>
      </c>
      <c r="H83" s="62" t="s">
        <v>32</v>
      </c>
      <c r="I83" s="65" t="s">
        <v>14</v>
      </c>
      <c r="J83" s="66"/>
    </row>
    <row r="84" spans="1:10" x14ac:dyDescent="0.25">
      <c r="A84" s="64" t="s">
        <v>290</v>
      </c>
      <c r="B84" s="167" t="str">
        <f>VLOOKUP(A84,SiteConfig!$A:$C,3,FALSE)</f>
        <v>L003</v>
      </c>
      <c r="C84" s="65">
        <v>9</v>
      </c>
      <c r="D84" s="62">
        <v>21001</v>
      </c>
      <c r="E84" s="65" t="s">
        <v>10</v>
      </c>
      <c r="F84" s="62">
        <v>21013</v>
      </c>
      <c r="G84" s="62"/>
      <c r="H84" s="62" t="s">
        <v>19</v>
      </c>
      <c r="I84" s="65" t="s">
        <v>14</v>
      </c>
      <c r="J84" s="66"/>
    </row>
    <row r="85" spans="1:10" x14ac:dyDescent="0.25">
      <c r="A85" s="64" t="s">
        <v>290</v>
      </c>
      <c r="B85" s="167" t="str">
        <f>VLOOKUP(A85,SiteConfig!$A:$C,3,FALSE)</f>
        <v>L003</v>
      </c>
      <c r="C85" s="65">
        <v>10</v>
      </c>
      <c r="D85" s="62">
        <v>22001</v>
      </c>
      <c r="E85" s="65" t="s">
        <v>10</v>
      </c>
      <c r="F85" s="62">
        <v>22026</v>
      </c>
      <c r="G85" s="62"/>
      <c r="H85" s="62" t="s">
        <v>19</v>
      </c>
      <c r="I85" s="65" t="s">
        <v>14</v>
      </c>
      <c r="J85" s="66"/>
    </row>
    <row r="86" spans="1:10" x14ac:dyDescent="0.25">
      <c r="A86" s="64" t="s">
        <v>290</v>
      </c>
      <c r="B86" s="167" t="str">
        <f>VLOOKUP(A86,SiteConfig!$A:$C,3,FALSE)</f>
        <v>L003</v>
      </c>
      <c r="C86" s="65">
        <v>11</v>
      </c>
      <c r="D86" s="62">
        <v>23001</v>
      </c>
      <c r="E86" s="65" t="s">
        <v>10</v>
      </c>
      <c r="F86" s="62">
        <v>23086</v>
      </c>
      <c r="G86" s="62"/>
      <c r="H86" s="62" t="s">
        <v>19</v>
      </c>
      <c r="I86" s="65" t="s">
        <v>14</v>
      </c>
      <c r="J86" s="66"/>
    </row>
    <row r="87" spans="1:10" x14ac:dyDescent="0.25">
      <c r="A87" s="64" t="s">
        <v>290</v>
      </c>
      <c r="B87" s="167" t="str">
        <f>VLOOKUP(A87,SiteConfig!$A:$C,3,FALSE)</f>
        <v>L003</v>
      </c>
      <c r="C87" s="65">
        <v>12</v>
      </c>
      <c r="D87" s="62">
        <v>24001</v>
      </c>
      <c r="E87" s="65" t="s">
        <v>10</v>
      </c>
      <c r="F87" s="62">
        <v>24206</v>
      </c>
      <c r="G87" s="62"/>
      <c r="H87" s="62" t="s">
        <v>19</v>
      </c>
      <c r="I87" s="65" t="s">
        <v>14</v>
      </c>
      <c r="J87" s="66"/>
    </row>
    <row r="88" spans="1:10" x14ac:dyDescent="0.25">
      <c r="A88" s="64" t="s">
        <v>290</v>
      </c>
      <c r="B88" s="167" t="str">
        <f>VLOOKUP(A88,SiteConfig!$A:$C,3,FALSE)</f>
        <v>L003</v>
      </c>
      <c r="C88" s="65">
        <v>13</v>
      </c>
      <c r="D88" s="62">
        <v>25001</v>
      </c>
      <c r="E88" s="65" t="s">
        <v>10</v>
      </c>
      <c r="F88" s="62">
        <v>25126</v>
      </c>
      <c r="G88" s="62"/>
      <c r="H88" s="62" t="s">
        <v>19</v>
      </c>
      <c r="I88" s="65" t="s">
        <v>14</v>
      </c>
      <c r="J88" s="66"/>
    </row>
    <row r="89" spans="1:10" x14ac:dyDescent="0.25">
      <c r="A89" s="64" t="s">
        <v>290</v>
      </c>
      <c r="B89" s="167" t="str">
        <f>VLOOKUP(A89,SiteConfig!$A:$C,3,FALSE)</f>
        <v>L003</v>
      </c>
      <c r="C89" s="65">
        <v>14</v>
      </c>
      <c r="D89" s="62">
        <v>27001</v>
      </c>
      <c r="E89" s="65" t="s">
        <v>10</v>
      </c>
      <c r="F89" s="62">
        <v>27032</v>
      </c>
      <c r="G89" s="62"/>
      <c r="H89" s="62" t="s">
        <v>19</v>
      </c>
      <c r="I89" s="65" t="s">
        <v>14</v>
      </c>
      <c r="J89" s="66"/>
    </row>
    <row r="90" spans="1:10" x14ac:dyDescent="0.25">
      <c r="A90" s="64" t="s">
        <v>290</v>
      </c>
      <c r="B90" s="167" t="str">
        <f>VLOOKUP(A90,SiteConfig!$A:$C,3,FALSE)</f>
        <v>L003</v>
      </c>
      <c r="C90" s="65">
        <v>15</v>
      </c>
      <c r="D90" s="192">
        <v>28001</v>
      </c>
      <c r="E90" s="65" t="s">
        <v>10</v>
      </c>
      <c r="F90" s="62">
        <v>28013</v>
      </c>
      <c r="G90" s="62"/>
      <c r="H90" s="62" t="s">
        <v>19</v>
      </c>
      <c r="I90" s="65" t="s">
        <v>14</v>
      </c>
      <c r="J90" s="66"/>
    </row>
    <row r="91" spans="1:10" x14ac:dyDescent="0.25">
      <c r="A91" s="64" t="s">
        <v>290</v>
      </c>
      <c r="B91" s="167" t="str">
        <f>VLOOKUP(A91,SiteConfig!$A:$C,3,FALSE)</f>
        <v>L003</v>
      </c>
      <c r="C91" s="65">
        <v>16</v>
      </c>
      <c r="D91" s="62" t="s">
        <v>27</v>
      </c>
      <c r="E91" s="65" t="s">
        <v>10</v>
      </c>
      <c r="F91" s="62" t="s">
        <v>117</v>
      </c>
      <c r="G91" s="62"/>
      <c r="H91" s="62" t="s">
        <v>12</v>
      </c>
      <c r="I91" s="65" t="s">
        <v>14</v>
      </c>
      <c r="J91" s="66"/>
    </row>
    <row r="92" spans="1:10" x14ac:dyDescent="0.25">
      <c r="A92" s="64" t="s">
        <v>290</v>
      </c>
      <c r="B92" s="167" t="str">
        <f>VLOOKUP(A92,SiteConfig!$A:$C,3,FALSE)</f>
        <v>L003</v>
      </c>
      <c r="C92" s="65">
        <v>17</v>
      </c>
      <c r="D92" s="62">
        <v>32001</v>
      </c>
      <c r="E92" s="65" t="s">
        <v>10</v>
      </c>
      <c r="F92" s="62">
        <v>32026</v>
      </c>
      <c r="G92" s="62"/>
      <c r="H92" s="62" t="s">
        <v>19</v>
      </c>
      <c r="I92" s="65" t="s">
        <v>14</v>
      </c>
      <c r="J92" s="66"/>
    </row>
    <row r="93" spans="1:10" x14ac:dyDescent="0.25">
      <c r="A93" s="64" t="s">
        <v>290</v>
      </c>
      <c r="B93" s="167" t="str">
        <f>VLOOKUP(A93,SiteConfig!$A:$C,3,FALSE)</f>
        <v>L003</v>
      </c>
      <c r="C93" s="65">
        <v>18</v>
      </c>
      <c r="D93" s="62">
        <v>33001</v>
      </c>
      <c r="E93" s="65" t="s">
        <v>10</v>
      </c>
      <c r="F93" s="62">
        <v>33095</v>
      </c>
      <c r="G93" s="62"/>
      <c r="H93" s="62" t="s">
        <v>19</v>
      </c>
      <c r="I93" s="65" t="s">
        <v>14</v>
      </c>
      <c r="J93" s="66"/>
    </row>
    <row r="94" spans="1:10" x14ac:dyDescent="0.25">
      <c r="A94" s="64" t="s">
        <v>290</v>
      </c>
      <c r="B94" s="167" t="str">
        <f>VLOOKUP(A94,SiteConfig!$A:$C,3,FALSE)</f>
        <v>L003</v>
      </c>
      <c r="C94" s="65">
        <v>19</v>
      </c>
      <c r="D94" s="62">
        <v>34001</v>
      </c>
      <c r="E94" s="65" t="s">
        <v>10</v>
      </c>
      <c r="F94" s="62">
        <v>34107</v>
      </c>
      <c r="G94" s="62"/>
      <c r="H94" s="62" t="s">
        <v>19</v>
      </c>
      <c r="I94" s="65" t="s">
        <v>14</v>
      </c>
      <c r="J94" s="66"/>
    </row>
    <row r="95" spans="1:10" x14ac:dyDescent="0.25">
      <c r="A95" s="64" t="s">
        <v>290</v>
      </c>
      <c r="B95" s="167" t="str">
        <f>VLOOKUP(A95,SiteConfig!$A:$C,3,FALSE)</f>
        <v>L003</v>
      </c>
      <c r="C95" s="65">
        <v>20</v>
      </c>
      <c r="D95" s="62">
        <v>35001</v>
      </c>
      <c r="E95" s="65" t="s">
        <v>10</v>
      </c>
      <c r="F95" s="62">
        <v>35119</v>
      </c>
      <c r="G95" s="62"/>
      <c r="H95" s="62" t="s">
        <v>19</v>
      </c>
      <c r="I95" s="65" t="s">
        <v>14</v>
      </c>
      <c r="J95" s="66"/>
    </row>
    <row r="96" spans="1:10" x14ac:dyDescent="0.25">
      <c r="A96" s="64" t="s">
        <v>290</v>
      </c>
      <c r="B96" s="167" t="str">
        <f>VLOOKUP(A96,SiteConfig!$A:$C,3,FALSE)</f>
        <v>L003</v>
      </c>
      <c r="C96" s="65">
        <v>21</v>
      </c>
      <c r="D96" s="62">
        <v>36001</v>
      </c>
      <c r="E96" s="65" t="s">
        <v>10</v>
      </c>
      <c r="F96" s="62">
        <v>36104</v>
      </c>
      <c r="G96" s="62"/>
      <c r="H96" s="62" t="s">
        <v>19</v>
      </c>
      <c r="I96" s="65" t="s">
        <v>14</v>
      </c>
      <c r="J96" s="66"/>
    </row>
    <row r="97" spans="1:10" x14ac:dyDescent="0.25">
      <c r="A97" s="64" t="s">
        <v>290</v>
      </c>
      <c r="B97" s="167" t="str">
        <f>VLOOKUP(A97,SiteConfig!$A:$C,3,FALSE)</f>
        <v>L003</v>
      </c>
      <c r="C97" s="65">
        <v>22</v>
      </c>
      <c r="D97" s="62">
        <v>37001</v>
      </c>
      <c r="E97" s="65" t="s">
        <v>10</v>
      </c>
      <c r="F97" s="62">
        <v>37043</v>
      </c>
      <c r="G97" s="62"/>
      <c r="H97" s="62" t="s">
        <v>19</v>
      </c>
      <c r="I97" s="65" t="s">
        <v>14</v>
      </c>
      <c r="J97" s="66"/>
    </row>
    <row r="98" spans="1:10" x14ac:dyDescent="0.25">
      <c r="A98" s="64" t="s">
        <v>290</v>
      </c>
      <c r="B98" s="167" t="str">
        <f>VLOOKUP(A98,SiteConfig!$A:$C,3,FALSE)</f>
        <v>L003</v>
      </c>
      <c r="C98" s="65">
        <v>23</v>
      </c>
      <c r="D98" s="62" t="s">
        <v>50</v>
      </c>
      <c r="E98" s="65" t="s">
        <v>10</v>
      </c>
      <c r="F98" s="62" t="s">
        <v>118</v>
      </c>
      <c r="G98" s="62"/>
      <c r="H98" s="62" t="s">
        <v>12</v>
      </c>
      <c r="I98" s="65" t="s">
        <v>14</v>
      </c>
      <c r="J98" s="66"/>
    </row>
    <row r="99" spans="1:10" x14ac:dyDescent="0.25">
      <c r="A99" s="64" t="s">
        <v>290</v>
      </c>
      <c r="B99" s="167" t="str">
        <f>VLOOKUP(A99,SiteConfig!$A:$C,3,FALSE)</f>
        <v>L003</v>
      </c>
      <c r="C99" s="65">
        <v>24</v>
      </c>
      <c r="D99" s="62" t="s">
        <v>52</v>
      </c>
      <c r="E99" s="65" t="s">
        <v>10</v>
      </c>
      <c r="F99" s="62" t="s">
        <v>119</v>
      </c>
      <c r="G99" s="62" t="s">
        <v>31</v>
      </c>
      <c r="H99" s="62" t="s">
        <v>32</v>
      </c>
      <c r="I99" s="65" t="s">
        <v>14</v>
      </c>
      <c r="J99" s="66"/>
    </row>
    <row r="100" spans="1:10" x14ac:dyDescent="0.25">
      <c r="A100" s="64" t="s">
        <v>290</v>
      </c>
      <c r="B100" s="167" t="str">
        <f>VLOOKUP(A100,SiteConfig!$A:$C,3,FALSE)</f>
        <v>L003</v>
      </c>
      <c r="C100" s="65">
        <v>25</v>
      </c>
      <c r="D100" s="62">
        <v>42001</v>
      </c>
      <c r="E100" s="65" t="s">
        <v>10</v>
      </c>
      <c r="F100" s="62">
        <v>42021</v>
      </c>
      <c r="G100" s="62"/>
      <c r="H100" s="62" t="s">
        <v>19</v>
      </c>
      <c r="I100" s="65" t="s">
        <v>14</v>
      </c>
      <c r="J100" s="66"/>
    </row>
    <row r="101" spans="1:10" x14ac:dyDescent="0.25">
      <c r="A101" s="64" t="s">
        <v>290</v>
      </c>
      <c r="B101" s="167" t="str">
        <f>VLOOKUP(A101,SiteConfig!$A:$C,3,FALSE)</f>
        <v>L003</v>
      </c>
      <c r="C101" s="65">
        <v>26</v>
      </c>
      <c r="D101" s="62">
        <v>43001</v>
      </c>
      <c r="E101" s="65" t="s">
        <v>10</v>
      </c>
      <c r="F101" s="62">
        <v>43060</v>
      </c>
      <c r="G101" s="62"/>
      <c r="H101" s="62" t="s">
        <v>19</v>
      </c>
      <c r="I101" s="65" t="s">
        <v>14</v>
      </c>
      <c r="J101" s="66"/>
    </row>
    <row r="102" spans="1:10" x14ac:dyDescent="0.25">
      <c r="A102" s="64" t="s">
        <v>290</v>
      </c>
      <c r="B102" s="167" t="str">
        <f>VLOOKUP(A102,SiteConfig!$A:$C,3,FALSE)</f>
        <v>L003</v>
      </c>
      <c r="C102" s="65">
        <v>27</v>
      </c>
      <c r="D102" s="62">
        <v>44001</v>
      </c>
      <c r="E102" s="65" t="s">
        <v>10</v>
      </c>
      <c r="F102" s="62">
        <v>44046</v>
      </c>
      <c r="G102" s="62"/>
      <c r="H102" s="62" t="s">
        <v>19</v>
      </c>
      <c r="I102" s="65" t="s">
        <v>14</v>
      </c>
      <c r="J102" s="66"/>
    </row>
    <row r="103" spans="1:10" x14ac:dyDescent="0.25">
      <c r="A103" s="64" t="s">
        <v>290</v>
      </c>
      <c r="B103" s="167" t="str">
        <f>VLOOKUP(A103,SiteConfig!$A:$C,3,FALSE)</f>
        <v>L003</v>
      </c>
      <c r="C103" s="65">
        <v>28</v>
      </c>
      <c r="D103" s="62">
        <v>45001</v>
      </c>
      <c r="E103" s="65" t="s">
        <v>10</v>
      </c>
      <c r="F103" s="62">
        <v>45113</v>
      </c>
      <c r="G103" s="62"/>
      <c r="H103" s="62" t="s">
        <v>19</v>
      </c>
      <c r="I103" s="65" t="s">
        <v>14</v>
      </c>
      <c r="J103" s="66"/>
    </row>
    <row r="104" spans="1:10" x14ac:dyDescent="0.25">
      <c r="A104" s="64" t="s">
        <v>290</v>
      </c>
      <c r="B104" s="167" t="str">
        <f>VLOOKUP(A104,SiteConfig!$A:$C,3,FALSE)</f>
        <v>L003</v>
      </c>
      <c r="C104" s="65">
        <v>29</v>
      </c>
      <c r="D104" s="62">
        <v>46001</v>
      </c>
      <c r="E104" s="65" t="s">
        <v>10</v>
      </c>
      <c r="F104" s="62">
        <v>46076</v>
      </c>
      <c r="G104" s="62"/>
      <c r="H104" s="62" t="s">
        <v>19</v>
      </c>
      <c r="I104" s="65" t="s">
        <v>14</v>
      </c>
      <c r="J104" s="66"/>
    </row>
    <row r="105" spans="1:10" x14ac:dyDescent="0.25">
      <c r="A105" s="64" t="s">
        <v>290</v>
      </c>
      <c r="B105" s="167" t="str">
        <f>VLOOKUP(A105,SiteConfig!$A:$C,3,FALSE)</f>
        <v>L003</v>
      </c>
      <c r="C105" s="65">
        <v>30</v>
      </c>
      <c r="D105" s="62">
        <v>47001</v>
      </c>
      <c r="E105" s="65" t="s">
        <v>10</v>
      </c>
      <c r="F105" s="62">
        <v>47022</v>
      </c>
      <c r="G105" s="62"/>
      <c r="H105" s="62" t="s">
        <v>19</v>
      </c>
      <c r="I105" s="65" t="s">
        <v>14</v>
      </c>
      <c r="J105" s="66"/>
    </row>
    <row r="106" spans="1:10" x14ac:dyDescent="0.25">
      <c r="A106" s="64" t="s">
        <v>290</v>
      </c>
      <c r="B106" s="167" t="str">
        <f>VLOOKUP(A106,SiteConfig!$A:$C,3,FALSE)</f>
        <v>L003</v>
      </c>
      <c r="C106" s="65">
        <v>31</v>
      </c>
      <c r="D106" s="62">
        <v>48000</v>
      </c>
      <c r="E106" s="65" t="s">
        <v>10</v>
      </c>
      <c r="F106" s="62">
        <v>48011</v>
      </c>
      <c r="G106" s="62"/>
      <c r="H106" s="62" t="s">
        <v>19</v>
      </c>
      <c r="I106" s="65" t="s">
        <v>14</v>
      </c>
      <c r="J106" s="66"/>
    </row>
    <row r="107" spans="1:10" x14ac:dyDescent="0.25">
      <c r="A107" s="64" t="s">
        <v>290</v>
      </c>
      <c r="B107" s="167" t="str">
        <f>VLOOKUP(A107,SiteConfig!$A:$C,3,FALSE)</f>
        <v>L003</v>
      </c>
      <c r="C107" s="65">
        <v>32</v>
      </c>
      <c r="D107" s="62">
        <v>48101</v>
      </c>
      <c r="E107" s="65" t="s">
        <v>10</v>
      </c>
      <c r="F107" s="62">
        <v>48108</v>
      </c>
      <c r="G107" s="62"/>
      <c r="H107" s="62" t="s">
        <v>19</v>
      </c>
      <c r="I107" s="65" t="s">
        <v>14</v>
      </c>
      <c r="J107" s="66"/>
    </row>
    <row r="108" spans="1:10" x14ac:dyDescent="0.25">
      <c r="A108" s="64" t="s">
        <v>290</v>
      </c>
      <c r="B108" s="167" t="str">
        <f>VLOOKUP(A108,SiteConfig!$A:$C,3,FALSE)</f>
        <v>L003</v>
      </c>
      <c r="C108" s="65">
        <v>33</v>
      </c>
      <c r="D108" s="62">
        <v>48200</v>
      </c>
      <c r="E108" s="65" t="s">
        <v>10</v>
      </c>
      <c r="F108" s="62">
        <v>48214</v>
      </c>
      <c r="G108" s="62"/>
      <c r="H108" s="62" t="s">
        <v>19</v>
      </c>
      <c r="I108" s="65" t="s">
        <v>14</v>
      </c>
      <c r="J108" s="66"/>
    </row>
    <row r="109" spans="1:10" x14ac:dyDescent="0.25">
      <c r="A109" s="64" t="s">
        <v>290</v>
      </c>
      <c r="B109" s="167" t="str">
        <f>VLOOKUP(A109,SiteConfig!$A:$C,3,FALSE)</f>
        <v>L003</v>
      </c>
      <c r="C109" s="65">
        <v>34</v>
      </c>
      <c r="D109" s="62">
        <v>48300</v>
      </c>
      <c r="E109" s="65" t="s">
        <v>10</v>
      </c>
      <c r="F109" s="62">
        <v>48312</v>
      </c>
      <c r="G109" s="62"/>
      <c r="H109" s="62" t="s">
        <v>19</v>
      </c>
      <c r="I109" s="65" t="s">
        <v>14</v>
      </c>
      <c r="J109" s="66"/>
    </row>
    <row r="110" spans="1:10" x14ac:dyDescent="0.25">
      <c r="A110" s="64" t="s">
        <v>290</v>
      </c>
      <c r="B110" s="167" t="str">
        <f>VLOOKUP(A110,SiteConfig!$A:$C,3,FALSE)</f>
        <v>L003</v>
      </c>
      <c r="C110" s="65">
        <v>35</v>
      </c>
      <c r="D110" s="62">
        <v>48401</v>
      </c>
      <c r="E110" s="65" t="s">
        <v>10</v>
      </c>
      <c r="F110" s="62">
        <v>48407</v>
      </c>
      <c r="G110" s="62"/>
      <c r="H110" s="62" t="s">
        <v>19</v>
      </c>
      <c r="I110" s="65" t="s">
        <v>14</v>
      </c>
      <c r="J110" s="66"/>
    </row>
    <row r="111" spans="1:10" x14ac:dyDescent="0.25">
      <c r="A111" s="64" t="s">
        <v>290</v>
      </c>
      <c r="B111" s="167" t="str">
        <f>VLOOKUP(A111,SiteConfig!$A:$C,3,FALSE)</f>
        <v>L003</v>
      </c>
      <c r="C111" s="65">
        <v>36</v>
      </c>
      <c r="D111" s="62">
        <v>48500</v>
      </c>
      <c r="E111" s="65" t="s">
        <v>10</v>
      </c>
      <c r="F111" s="62">
        <v>48518</v>
      </c>
      <c r="G111" s="62"/>
      <c r="H111" s="62" t="s">
        <v>19</v>
      </c>
      <c r="I111" s="65" t="s">
        <v>14</v>
      </c>
      <c r="J111" s="66"/>
    </row>
    <row r="112" spans="1:10" x14ac:dyDescent="0.25">
      <c r="A112" s="64" t="s">
        <v>120</v>
      </c>
      <c r="B112" s="167" t="str">
        <f>VLOOKUP(A112,SiteConfig!$A:$C,3,FALSE)</f>
        <v>L018</v>
      </c>
      <c r="C112" s="65">
        <v>1</v>
      </c>
      <c r="D112" s="62" t="s">
        <v>121</v>
      </c>
      <c r="E112" s="65" t="s">
        <v>10</v>
      </c>
      <c r="F112" s="62" t="s">
        <v>122</v>
      </c>
      <c r="G112" s="62" t="s">
        <v>112</v>
      </c>
      <c r="H112" s="62" t="s">
        <v>19</v>
      </c>
      <c r="I112" s="65" t="s">
        <v>14</v>
      </c>
      <c r="J112" s="66"/>
    </row>
    <row r="113" spans="1:10" x14ac:dyDescent="0.25">
      <c r="A113" s="64" t="s">
        <v>120</v>
      </c>
      <c r="B113" s="167" t="str">
        <f>VLOOKUP(A113,SiteConfig!$A:$C,3,FALSE)</f>
        <v>L018</v>
      </c>
      <c r="C113" s="65">
        <v>2</v>
      </c>
      <c r="D113" s="62">
        <v>1100</v>
      </c>
      <c r="E113" s="65" t="s">
        <v>10</v>
      </c>
      <c r="F113" s="62">
        <v>1140</v>
      </c>
      <c r="G113" s="62"/>
      <c r="H113" s="62" t="s">
        <v>19</v>
      </c>
      <c r="I113" s="65" t="s">
        <v>13</v>
      </c>
      <c r="J113" s="66"/>
    </row>
    <row r="114" spans="1:10" x14ac:dyDescent="0.25">
      <c r="A114" s="64" t="s">
        <v>120</v>
      </c>
      <c r="B114" s="167" t="str">
        <f>VLOOKUP(A114,SiteConfig!$A:$C,3,FALSE)</f>
        <v>L018</v>
      </c>
      <c r="C114" s="65">
        <v>3</v>
      </c>
      <c r="D114" s="62">
        <v>1001</v>
      </c>
      <c r="E114" s="65" t="s">
        <v>10</v>
      </c>
      <c r="F114" s="62">
        <v>1009</v>
      </c>
      <c r="G114" s="62"/>
      <c r="H114" s="62" t="s">
        <v>19</v>
      </c>
      <c r="I114" s="65" t="s">
        <v>14</v>
      </c>
      <c r="J114" s="66"/>
    </row>
    <row r="115" spans="1:10" x14ac:dyDescent="0.25">
      <c r="A115" s="64" t="s">
        <v>120</v>
      </c>
      <c r="B115" s="167" t="str">
        <f>VLOOKUP(A115,SiteConfig!$A:$C,3,FALSE)</f>
        <v>L018</v>
      </c>
      <c r="C115" s="65">
        <v>4</v>
      </c>
      <c r="D115" s="62">
        <v>1200</v>
      </c>
      <c r="E115" s="65" t="s">
        <v>10</v>
      </c>
      <c r="F115" s="62">
        <v>1226</v>
      </c>
      <c r="G115" s="62"/>
      <c r="H115" s="62" t="s">
        <v>19</v>
      </c>
      <c r="I115" s="65" t="s">
        <v>14</v>
      </c>
      <c r="J115" s="66"/>
    </row>
    <row r="116" spans="1:10" x14ac:dyDescent="0.25">
      <c r="A116" s="64" t="s">
        <v>120</v>
      </c>
      <c r="B116" s="167" t="str">
        <f>VLOOKUP(A116,SiteConfig!$A:$C,3,FALSE)</f>
        <v>L018</v>
      </c>
      <c r="C116" s="65">
        <v>5</v>
      </c>
      <c r="D116" s="62">
        <v>2001</v>
      </c>
      <c r="E116" s="65" t="s">
        <v>10</v>
      </c>
      <c r="F116" s="62">
        <v>2132</v>
      </c>
      <c r="G116" s="62"/>
      <c r="H116" s="62" t="s">
        <v>19</v>
      </c>
      <c r="I116" s="65" t="s">
        <v>14</v>
      </c>
      <c r="J116" s="66"/>
    </row>
    <row r="117" spans="1:10" x14ac:dyDescent="0.25">
      <c r="A117" s="64" t="s">
        <v>120</v>
      </c>
      <c r="B117" s="167" t="str">
        <f>VLOOKUP(A117,SiteConfig!$A:$C,3,FALSE)</f>
        <v>L018</v>
      </c>
      <c r="C117" s="65">
        <v>6</v>
      </c>
      <c r="D117" s="62">
        <v>2200</v>
      </c>
      <c r="E117" s="65" t="s">
        <v>10</v>
      </c>
      <c r="F117" s="62">
        <v>2227</v>
      </c>
      <c r="G117" s="62"/>
      <c r="H117" s="62" t="s">
        <v>19</v>
      </c>
      <c r="I117" s="65" t="s">
        <v>14</v>
      </c>
      <c r="J117" s="66"/>
    </row>
    <row r="118" spans="1:10" x14ac:dyDescent="0.25">
      <c r="A118" s="64" t="s">
        <v>120</v>
      </c>
      <c r="B118" s="167" t="str">
        <f>VLOOKUP(A118,SiteConfig!$A:$C,3,FALSE)</f>
        <v>L018</v>
      </c>
      <c r="C118" s="65">
        <v>7</v>
      </c>
      <c r="D118" s="62">
        <v>2301</v>
      </c>
      <c r="E118" s="65" t="s">
        <v>10</v>
      </c>
      <c r="F118" s="62">
        <v>2410</v>
      </c>
      <c r="G118" s="62"/>
      <c r="H118" s="62" t="s">
        <v>19</v>
      </c>
      <c r="I118" s="65" t="s">
        <v>14</v>
      </c>
      <c r="J118" s="66"/>
    </row>
    <row r="119" spans="1:10" x14ac:dyDescent="0.25">
      <c r="A119" s="64" t="s">
        <v>120</v>
      </c>
      <c r="B119" s="167" t="str">
        <f>VLOOKUP(A119,SiteConfig!$A:$C,3,FALSE)</f>
        <v>L018</v>
      </c>
      <c r="C119" s="65">
        <v>8</v>
      </c>
      <c r="D119" s="62">
        <v>2501</v>
      </c>
      <c r="E119" s="65" t="s">
        <v>10</v>
      </c>
      <c r="F119" s="62">
        <v>2604</v>
      </c>
      <c r="G119" s="62"/>
      <c r="H119" s="62" t="s">
        <v>19</v>
      </c>
      <c r="I119" s="65" t="s">
        <v>14</v>
      </c>
      <c r="J119" s="66"/>
    </row>
    <row r="120" spans="1:10" x14ac:dyDescent="0.25">
      <c r="A120" s="64" t="s">
        <v>120</v>
      </c>
      <c r="B120" s="167" t="str">
        <f>VLOOKUP(A120,SiteConfig!$A:$C,3,FALSE)</f>
        <v>L018</v>
      </c>
      <c r="C120" s="65">
        <v>9</v>
      </c>
      <c r="D120" s="62">
        <v>2700</v>
      </c>
      <c r="E120" s="65" t="s">
        <v>10</v>
      </c>
      <c r="F120" s="62">
        <v>2734</v>
      </c>
      <c r="G120" s="62"/>
      <c r="H120" s="62" t="s">
        <v>19</v>
      </c>
      <c r="I120" s="65" t="s">
        <v>14</v>
      </c>
      <c r="J120" s="66"/>
    </row>
    <row r="121" spans="1:10" x14ac:dyDescent="0.25">
      <c r="A121" s="64" t="s">
        <v>120</v>
      </c>
      <c r="B121" s="167" t="str">
        <f>VLOOKUP(A121,SiteConfig!$A:$C,3,FALSE)</f>
        <v>L018</v>
      </c>
      <c r="C121" s="65">
        <v>10</v>
      </c>
      <c r="D121" s="62">
        <v>2800</v>
      </c>
      <c r="E121" s="65" t="s">
        <v>10</v>
      </c>
      <c r="F121" s="62">
        <v>2814</v>
      </c>
      <c r="G121" s="62"/>
      <c r="H121" s="62" t="s">
        <v>19</v>
      </c>
      <c r="I121" s="65" t="s">
        <v>14</v>
      </c>
      <c r="J121" s="66"/>
    </row>
    <row r="122" spans="1:10" x14ac:dyDescent="0.25">
      <c r="A122" s="64" t="s">
        <v>120</v>
      </c>
      <c r="B122" s="167" t="str">
        <f>VLOOKUP(A122,SiteConfig!$A:$C,3,FALSE)</f>
        <v>L018</v>
      </c>
      <c r="C122" s="65">
        <v>11</v>
      </c>
      <c r="D122" s="62" t="s">
        <v>123</v>
      </c>
      <c r="E122" s="65" t="s">
        <v>10</v>
      </c>
      <c r="F122" s="62" t="s">
        <v>124</v>
      </c>
      <c r="G122" s="62"/>
      <c r="H122" s="62" t="s">
        <v>19</v>
      </c>
      <c r="I122" s="65" t="s">
        <v>14</v>
      </c>
      <c r="J122" s="66"/>
    </row>
    <row r="123" spans="1:10" x14ac:dyDescent="0.25">
      <c r="A123" s="64" t="s">
        <v>120</v>
      </c>
      <c r="B123" s="167" t="str">
        <f>VLOOKUP(A123,SiteConfig!$A:$C,3,FALSE)</f>
        <v>L018</v>
      </c>
      <c r="C123" s="65">
        <v>12</v>
      </c>
      <c r="D123" s="62" t="s">
        <v>125</v>
      </c>
      <c r="E123" s="65" t="s">
        <v>10</v>
      </c>
      <c r="F123" s="62" t="s">
        <v>126</v>
      </c>
      <c r="G123" s="62"/>
      <c r="H123" s="62" t="s">
        <v>127</v>
      </c>
      <c r="I123" s="65" t="s">
        <v>13</v>
      </c>
      <c r="J123" s="66"/>
    </row>
    <row r="124" spans="1:10" x14ac:dyDescent="0.25">
      <c r="A124" s="64" t="s">
        <v>120</v>
      </c>
      <c r="B124" s="167" t="str">
        <f>VLOOKUP(A124,SiteConfig!$A:$C,3,FALSE)</f>
        <v>L018</v>
      </c>
      <c r="C124" s="65">
        <v>13</v>
      </c>
      <c r="D124" s="62" t="s">
        <v>128</v>
      </c>
      <c r="E124" s="65" t="s">
        <v>10</v>
      </c>
      <c r="F124" s="62" t="s">
        <v>129</v>
      </c>
      <c r="G124" s="62"/>
      <c r="H124" s="62" t="s">
        <v>130</v>
      </c>
      <c r="I124" s="65" t="s">
        <v>13</v>
      </c>
      <c r="J124" s="66"/>
    </row>
    <row r="125" spans="1:10" x14ac:dyDescent="0.25">
      <c r="A125" s="64" t="s">
        <v>120</v>
      </c>
      <c r="B125" s="167" t="str">
        <f>VLOOKUP(A125,SiteConfig!$A:$C,3,FALSE)</f>
        <v>L018</v>
      </c>
      <c r="C125" s="65">
        <v>14</v>
      </c>
      <c r="D125" s="62">
        <v>3000</v>
      </c>
      <c r="E125" s="65" t="s">
        <v>10</v>
      </c>
      <c r="F125" s="62">
        <v>3048</v>
      </c>
      <c r="G125" s="62"/>
      <c r="H125" s="62" t="s">
        <v>19</v>
      </c>
      <c r="I125" s="65" t="s">
        <v>13</v>
      </c>
      <c r="J125" s="66"/>
    </row>
    <row r="126" spans="1:10" x14ac:dyDescent="0.25">
      <c r="A126" s="64" t="s">
        <v>120</v>
      </c>
      <c r="B126" s="167" t="str">
        <f>VLOOKUP(A126,SiteConfig!$A:$C,3,FALSE)</f>
        <v>L018</v>
      </c>
      <c r="C126" s="65">
        <v>15</v>
      </c>
      <c r="D126" s="62">
        <v>3100</v>
      </c>
      <c r="E126" s="65" t="s">
        <v>10</v>
      </c>
      <c r="F126" s="62">
        <v>3156</v>
      </c>
      <c r="G126" s="62"/>
      <c r="H126" s="62" t="s">
        <v>19</v>
      </c>
      <c r="I126" s="65" t="s">
        <v>14</v>
      </c>
      <c r="J126" s="66"/>
    </row>
    <row r="127" spans="1:10" x14ac:dyDescent="0.25">
      <c r="A127" s="64" t="s">
        <v>120</v>
      </c>
      <c r="B127" s="167" t="str">
        <f>VLOOKUP(A127,SiteConfig!$A:$C,3,FALSE)</f>
        <v>L018</v>
      </c>
      <c r="C127" s="65">
        <v>16</v>
      </c>
      <c r="D127" s="62">
        <v>3500</v>
      </c>
      <c r="E127" s="65" t="s">
        <v>10</v>
      </c>
      <c r="F127" s="62">
        <v>3597</v>
      </c>
      <c r="G127" s="62"/>
      <c r="H127" s="62" t="s">
        <v>19</v>
      </c>
      <c r="I127" s="65" t="s">
        <v>14</v>
      </c>
      <c r="J127" s="66"/>
    </row>
    <row r="128" spans="1:10" x14ac:dyDescent="0.25">
      <c r="A128" s="64" t="s">
        <v>120</v>
      </c>
      <c r="B128" s="167" t="str">
        <f>VLOOKUP(A128,SiteConfig!$A:$C,3,FALSE)</f>
        <v>L018</v>
      </c>
      <c r="C128" s="65">
        <v>17</v>
      </c>
      <c r="D128" s="62">
        <v>3600</v>
      </c>
      <c r="E128" s="65" t="s">
        <v>10</v>
      </c>
      <c r="F128" s="62">
        <v>3600</v>
      </c>
      <c r="G128" s="62"/>
      <c r="H128" s="62" t="s">
        <v>19</v>
      </c>
      <c r="I128" s="65" t="s">
        <v>14</v>
      </c>
      <c r="J128" s="66"/>
    </row>
    <row r="129" spans="1:10" x14ac:dyDescent="0.25">
      <c r="A129" s="64" t="s">
        <v>120</v>
      </c>
      <c r="B129" s="167" t="str">
        <f>VLOOKUP(A129,SiteConfig!$A:$C,3,FALSE)</f>
        <v>L018</v>
      </c>
      <c r="C129" s="65">
        <v>18</v>
      </c>
      <c r="D129" s="62" t="s">
        <v>50</v>
      </c>
      <c r="E129" s="65" t="s">
        <v>10</v>
      </c>
      <c r="F129" s="62" t="s">
        <v>131</v>
      </c>
      <c r="G129" s="62"/>
      <c r="H129" s="62" t="s">
        <v>127</v>
      </c>
      <c r="I129" s="65" t="s">
        <v>14</v>
      </c>
      <c r="J129" s="66"/>
    </row>
    <row r="130" spans="1:10" x14ac:dyDescent="0.25">
      <c r="A130" s="64" t="s">
        <v>120</v>
      </c>
      <c r="B130" s="167" t="str">
        <f>VLOOKUP(A130,SiteConfig!$A:$C,3,FALSE)</f>
        <v>L018</v>
      </c>
      <c r="C130" s="65">
        <v>19</v>
      </c>
      <c r="D130" s="62" t="s">
        <v>87</v>
      </c>
      <c r="E130" s="65" t="s">
        <v>10</v>
      </c>
      <c r="F130" s="62" t="s">
        <v>132</v>
      </c>
      <c r="G130" s="62"/>
      <c r="H130" s="62" t="s">
        <v>127</v>
      </c>
      <c r="I130" s="65" t="s">
        <v>14</v>
      </c>
      <c r="J130" s="66"/>
    </row>
    <row r="131" spans="1:10" x14ac:dyDescent="0.25">
      <c r="A131" s="64" t="s">
        <v>120</v>
      </c>
      <c r="B131" s="167" t="str">
        <f>VLOOKUP(A131,SiteConfig!$A:$C,3,FALSE)</f>
        <v>L018</v>
      </c>
      <c r="C131" s="65">
        <v>20</v>
      </c>
      <c r="D131" s="62" t="s">
        <v>133</v>
      </c>
      <c r="E131" s="65" t="s">
        <v>10</v>
      </c>
      <c r="F131" s="62" t="s">
        <v>134</v>
      </c>
      <c r="G131" s="62"/>
      <c r="H131" s="62" t="s">
        <v>135</v>
      </c>
      <c r="I131" s="65" t="s">
        <v>14</v>
      </c>
      <c r="J131" s="66"/>
    </row>
    <row r="132" spans="1:10" x14ac:dyDescent="0.25">
      <c r="A132" s="64" t="s">
        <v>120</v>
      </c>
      <c r="B132" s="167" t="str">
        <f>VLOOKUP(A132,SiteConfig!$A:$C,3,FALSE)</f>
        <v>L018</v>
      </c>
      <c r="C132" s="65">
        <v>21</v>
      </c>
      <c r="D132" s="62">
        <v>4001</v>
      </c>
      <c r="E132" s="65" t="s">
        <v>10</v>
      </c>
      <c r="F132" s="62">
        <v>4187</v>
      </c>
      <c r="G132" s="62"/>
      <c r="H132" s="62" t="s">
        <v>19</v>
      </c>
      <c r="I132" s="65" t="s">
        <v>14</v>
      </c>
      <c r="J132" s="66"/>
    </row>
    <row r="133" spans="1:10" x14ac:dyDescent="0.25">
      <c r="A133" s="64" t="s">
        <v>136</v>
      </c>
      <c r="B133" s="167" t="str">
        <f>VLOOKUP(A133,SiteConfig!$A:$C,3,FALSE)</f>
        <v>L005</v>
      </c>
      <c r="C133" s="65">
        <v>1</v>
      </c>
      <c r="D133" s="62" t="s">
        <v>137</v>
      </c>
      <c r="E133" s="65" t="s">
        <v>10</v>
      </c>
      <c r="F133" s="62" t="s">
        <v>138</v>
      </c>
      <c r="G133" s="62" t="s">
        <v>31</v>
      </c>
      <c r="H133" s="62" t="s">
        <v>32</v>
      </c>
      <c r="I133" s="65" t="s">
        <v>14</v>
      </c>
      <c r="J133" s="66"/>
    </row>
    <row r="134" spans="1:10" x14ac:dyDescent="0.25">
      <c r="A134" s="64" t="s">
        <v>136</v>
      </c>
      <c r="B134" s="167" t="str">
        <f>VLOOKUP(A134,SiteConfig!$A:$C,3,FALSE)</f>
        <v>L005</v>
      </c>
      <c r="C134" s="65">
        <v>2</v>
      </c>
      <c r="D134" s="62" t="s">
        <v>139</v>
      </c>
      <c r="E134" s="65" t="s">
        <v>10</v>
      </c>
      <c r="F134" s="62" t="s">
        <v>140</v>
      </c>
      <c r="G134" s="62" t="s">
        <v>31</v>
      </c>
      <c r="H134" s="62" t="s">
        <v>32</v>
      </c>
      <c r="I134" s="65" t="s">
        <v>14</v>
      </c>
      <c r="J134" s="66"/>
    </row>
    <row r="135" spans="1:10" x14ac:dyDescent="0.25">
      <c r="A135" s="64" t="s">
        <v>136</v>
      </c>
      <c r="B135" s="167" t="str">
        <f>VLOOKUP(A135,SiteConfig!$A:$C,3,FALSE)</f>
        <v>L005</v>
      </c>
      <c r="C135" s="65">
        <v>3</v>
      </c>
      <c r="D135" s="62" t="s">
        <v>141</v>
      </c>
      <c r="E135" s="65" t="s">
        <v>10</v>
      </c>
      <c r="F135" s="62" t="s">
        <v>142</v>
      </c>
      <c r="G135" s="62"/>
      <c r="H135" s="62" t="s">
        <v>127</v>
      </c>
      <c r="I135" s="65" t="s">
        <v>13</v>
      </c>
      <c r="J135" s="66"/>
    </row>
    <row r="136" spans="1:10" x14ac:dyDescent="0.25">
      <c r="A136" s="64" t="s">
        <v>136</v>
      </c>
      <c r="B136" s="167" t="str">
        <f>VLOOKUP(A136,SiteConfig!$A:$C,3,FALSE)</f>
        <v>L005</v>
      </c>
      <c r="C136" s="65">
        <v>4</v>
      </c>
      <c r="D136" s="62" t="s">
        <v>69</v>
      </c>
      <c r="E136" s="65" t="s">
        <v>10</v>
      </c>
      <c r="F136" s="62" t="s">
        <v>143</v>
      </c>
      <c r="G136" s="62"/>
      <c r="H136" s="62" t="s">
        <v>127</v>
      </c>
      <c r="I136" s="65" t="s">
        <v>14</v>
      </c>
      <c r="J136" s="66"/>
    </row>
    <row r="137" spans="1:10" x14ac:dyDescent="0.25">
      <c r="A137" s="64" t="s">
        <v>136</v>
      </c>
      <c r="B137" s="167" t="str">
        <f>VLOOKUP(A137,SiteConfig!$A:$C,3,FALSE)</f>
        <v>L005</v>
      </c>
      <c r="C137" s="65">
        <v>5</v>
      </c>
      <c r="D137" s="62" t="s">
        <v>144</v>
      </c>
      <c r="E137" s="65" t="s">
        <v>10</v>
      </c>
      <c r="F137" s="62" t="s">
        <v>145</v>
      </c>
      <c r="G137" s="62"/>
      <c r="H137" s="62" t="s">
        <v>127</v>
      </c>
      <c r="I137" s="65" t="s">
        <v>13</v>
      </c>
      <c r="J137" s="66"/>
    </row>
    <row r="138" spans="1:10" x14ac:dyDescent="0.25">
      <c r="A138" s="64" t="s">
        <v>136</v>
      </c>
      <c r="B138" s="167" t="str">
        <f>VLOOKUP(A138,SiteConfig!$A:$C,3,FALSE)</f>
        <v>L005</v>
      </c>
      <c r="C138" s="65">
        <v>6</v>
      </c>
      <c r="D138" s="62" t="s">
        <v>146</v>
      </c>
      <c r="E138" s="65" t="s">
        <v>10</v>
      </c>
      <c r="F138" s="62" t="s">
        <v>147</v>
      </c>
      <c r="G138" s="62"/>
      <c r="H138" s="62" t="s">
        <v>127</v>
      </c>
      <c r="I138" s="65" t="s">
        <v>14</v>
      </c>
      <c r="J138" s="66"/>
    </row>
    <row r="139" spans="1:10" x14ac:dyDescent="0.25">
      <c r="A139" s="64" t="s">
        <v>136</v>
      </c>
      <c r="B139" s="167" t="str">
        <f>VLOOKUP(A139,SiteConfig!$A:$C,3,FALSE)</f>
        <v>L005</v>
      </c>
      <c r="C139" s="65">
        <v>7</v>
      </c>
      <c r="D139" s="62">
        <v>2200</v>
      </c>
      <c r="E139" s="65" t="s">
        <v>10</v>
      </c>
      <c r="F139" s="62">
        <v>2295</v>
      </c>
      <c r="G139" s="62"/>
      <c r="H139" s="62" t="s">
        <v>127</v>
      </c>
      <c r="I139" s="65" t="s">
        <v>13</v>
      </c>
      <c r="J139" s="66"/>
    </row>
    <row r="140" spans="1:10" x14ac:dyDescent="0.25">
      <c r="A140" s="64" t="s">
        <v>136</v>
      </c>
      <c r="B140" s="167" t="str">
        <f>VLOOKUP(A140,SiteConfig!$A:$C,3,FALSE)</f>
        <v>L005</v>
      </c>
      <c r="C140" s="65">
        <v>8</v>
      </c>
      <c r="D140" s="62" t="s">
        <v>148</v>
      </c>
      <c r="E140" s="65" t="s">
        <v>10</v>
      </c>
      <c r="F140" s="62" t="s">
        <v>149</v>
      </c>
      <c r="G140" s="62"/>
      <c r="H140" s="62" t="s">
        <v>127</v>
      </c>
      <c r="I140" s="65" t="s">
        <v>13</v>
      </c>
      <c r="J140" s="66"/>
    </row>
    <row r="141" spans="1:10" x14ac:dyDescent="0.25">
      <c r="A141" s="64" t="s">
        <v>136</v>
      </c>
      <c r="B141" s="167" t="str">
        <f>VLOOKUP(A141,SiteConfig!$A:$C,3,FALSE)</f>
        <v>L005</v>
      </c>
      <c r="C141" s="65">
        <v>9</v>
      </c>
      <c r="D141" s="62">
        <v>1200</v>
      </c>
      <c r="E141" s="65" t="s">
        <v>10</v>
      </c>
      <c r="F141" s="62">
        <v>1215</v>
      </c>
      <c r="G141" s="62"/>
      <c r="H141" s="62" t="s">
        <v>150</v>
      </c>
      <c r="I141" s="65" t="s">
        <v>14</v>
      </c>
      <c r="J141" s="66"/>
    </row>
    <row r="142" spans="1:10" x14ac:dyDescent="0.25">
      <c r="A142" s="64" t="s">
        <v>136</v>
      </c>
      <c r="B142" s="167" t="str">
        <f>VLOOKUP(A142,SiteConfig!$A:$C,3,FALSE)</f>
        <v>L005</v>
      </c>
      <c r="C142" s="65">
        <v>10</v>
      </c>
      <c r="D142" s="62" t="s">
        <v>151</v>
      </c>
      <c r="E142" s="65" t="s">
        <v>10</v>
      </c>
      <c r="F142" s="62" t="s">
        <v>152</v>
      </c>
      <c r="G142" s="62"/>
      <c r="H142" s="62" t="s">
        <v>150</v>
      </c>
      <c r="I142" s="65" t="s">
        <v>14</v>
      </c>
      <c r="J142" s="66"/>
    </row>
    <row r="143" spans="1:10" x14ac:dyDescent="0.25">
      <c r="A143" s="64" t="s">
        <v>136</v>
      </c>
      <c r="B143" s="167" t="str">
        <f>VLOOKUP(A143,SiteConfig!$A:$C,3,FALSE)</f>
        <v>L005</v>
      </c>
      <c r="C143" s="65">
        <v>11</v>
      </c>
      <c r="D143" s="62">
        <v>2000</v>
      </c>
      <c r="E143" s="65" t="s">
        <v>10</v>
      </c>
      <c r="F143" s="62">
        <v>2159</v>
      </c>
      <c r="G143" s="62"/>
      <c r="H143" s="62" t="s">
        <v>150</v>
      </c>
      <c r="I143" s="65" t="s">
        <v>14</v>
      </c>
      <c r="J143" s="66"/>
    </row>
    <row r="144" spans="1:10" x14ac:dyDescent="0.25">
      <c r="A144" s="64" t="s">
        <v>136</v>
      </c>
      <c r="B144" s="167" t="str">
        <f>VLOOKUP(A144,SiteConfig!$A:$C,3,FALSE)</f>
        <v>L005</v>
      </c>
      <c r="C144" s="65">
        <v>12</v>
      </c>
      <c r="D144" s="62">
        <v>2300</v>
      </c>
      <c r="E144" s="65" t="s">
        <v>10</v>
      </c>
      <c r="F144" s="62">
        <v>2303</v>
      </c>
      <c r="G144" s="62"/>
      <c r="H144" s="62" t="s">
        <v>150</v>
      </c>
      <c r="I144" s="65" t="s">
        <v>14</v>
      </c>
      <c r="J144" s="66"/>
    </row>
    <row r="145" spans="1:10" x14ac:dyDescent="0.25">
      <c r="A145" s="64" t="s">
        <v>136</v>
      </c>
      <c r="B145" s="167" t="str">
        <f>VLOOKUP(A145,SiteConfig!$A:$C,3,FALSE)</f>
        <v>L005</v>
      </c>
      <c r="C145" s="65">
        <v>13</v>
      </c>
      <c r="D145" s="62">
        <v>3000</v>
      </c>
      <c r="E145" s="65" t="s">
        <v>10</v>
      </c>
      <c r="F145" s="62">
        <v>3404</v>
      </c>
      <c r="G145" s="62"/>
      <c r="H145" s="62" t="s">
        <v>150</v>
      </c>
      <c r="I145" s="65" t="s">
        <v>14</v>
      </c>
      <c r="J145" s="66"/>
    </row>
    <row r="146" spans="1:10" x14ac:dyDescent="0.25">
      <c r="A146" s="64" t="s">
        <v>136</v>
      </c>
      <c r="B146" s="167" t="str">
        <f>VLOOKUP(A146,SiteConfig!$A:$C,3,FALSE)</f>
        <v>L005</v>
      </c>
      <c r="C146" s="65">
        <v>14</v>
      </c>
      <c r="D146" s="62">
        <v>4000</v>
      </c>
      <c r="E146" s="65" t="s">
        <v>10</v>
      </c>
      <c r="F146" s="62">
        <v>4400</v>
      </c>
      <c r="G146" s="62"/>
      <c r="H146" s="62" t="s">
        <v>150</v>
      </c>
      <c r="I146" s="65" t="s">
        <v>14</v>
      </c>
      <c r="J146" s="66"/>
    </row>
    <row r="147" spans="1:10" x14ac:dyDescent="0.25">
      <c r="A147" s="64" t="s">
        <v>136</v>
      </c>
      <c r="B147" s="167" t="str">
        <f>VLOOKUP(A147,SiteConfig!$A:$C,3,FALSE)</f>
        <v>L005</v>
      </c>
      <c r="C147" s="65">
        <v>15</v>
      </c>
      <c r="D147" s="62" t="s">
        <v>153</v>
      </c>
      <c r="E147" s="65" t="s">
        <v>10</v>
      </c>
      <c r="F147" s="62" t="s">
        <v>154</v>
      </c>
      <c r="G147" s="62"/>
      <c r="H147" s="62" t="s">
        <v>150</v>
      </c>
      <c r="I147" s="65" t="s">
        <v>14</v>
      </c>
      <c r="J147" s="66"/>
    </row>
    <row r="148" spans="1:10" x14ac:dyDescent="0.25">
      <c r="A148" s="64" t="s">
        <v>155</v>
      </c>
      <c r="B148" s="167" t="str">
        <f>VLOOKUP(A148,SiteConfig!$A:$C,3,FALSE)</f>
        <v>L030</v>
      </c>
      <c r="C148" s="65">
        <v>1</v>
      </c>
      <c r="D148" s="62" t="s">
        <v>125</v>
      </c>
      <c r="E148" s="65" t="s">
        <v>10</v>
      </c>
      <c r="F148" s="62" t="s">
        <v>156</v>
      </c>
      <c r="G148" s="62"/>
      <c r="H148" s="62" t="s">
        <v>12</v>
      </c>
      <c r="I148" s="65" t="s">
        <v>74</v>
      </c>
      <c r="J148" s="66"/>
    </row>
    <row r="149" spans="1:10" x14ac:dyDescent="0.25">
      <c r="A149" s="64" t="s">
        <v>155</v>
      </c>
      <c r="B149" s="167" t="str">
        <f>VLOOKUP(A149,SiteConfig!$A:$C,3,FALSE)</f>
        <v>L030</v>
      </c>
      <c r="C149" s="65">
        <v>2</v>
      </c>
      <c r="D149" s="62" t="s">
        <v>22</v>
      </c>
      <c r="E149" s="65" t="s">
        <v>10</v>
      </c>
      <c r="F149" s="62" t="s">
        <v>157</v>
      </c>
      <c r="G149" s="62"/>
      <c r="H149" s="62" t="s">
        <v>12</v>
      </c>
      <c r="I149" s="65" t="s">
        <v>74</v>
      </c>
      <c r="J149" s="66"/>
    </row>
    <row r="150" spans="1:10" x14ac:dyDescent="0.25">
      <c r="A150" s="64" t="s">
        <v>155</v>
      </c>
      <c r="B150" s="167" t="str">
        <f>VLOOKUP(A150,SiteConfig!$A:$C,3,FALSE)</f>
        <v>L030</v>
      </c>
      <c r="C150" s="65">
        <v>3</v>
      </c>
      <c r="D150" s="62">
        <v>5001</v>
      </c>
      <c r="E150" s="65" t="s">
        <v>10</v>
      </c>
      <c r="F150" s="62">
        <v>5062</v>
      </c>
      <c r="G150" s="62"/>
      <c r="H150" s="62" t="s">
        <v>19</v>
      </c>
      <c r="I150" s="65" t="s">
        <v>74</v>
      </c>
      <c r="J150" s="66"/>
    </row>
    <row r="151" spans="1:10" x14ac:dyDescent="0.25">
      <c r="A151" s="64" t="s">
        <v>155</v>
      </c>
      <c r="B151" s="167" t="str">
        <f>VLOOKUP(A151,SiteConfig!$A:$C,3,FALSE)</f>
        <v>L030</v>
      </c>
      <c r="C151" s="65">
        <v>4</v>
      </c>
      <c r="D151" s="62" t="s">
        <v>158</v>
      </c>
      <c r="E151" s="65" t="s">
        <v>10</v>
      </c>
      <c r="F151" s="62" t="s">
        <v>159</v>
      </c>
      <c r="G151" s="62"/>
      <c r="H151" s="62" t="s">
        <v>12</v>
      </c>
      <c r="I151" s="65" t="s">
        <v>74</v>
      </c>
      <c r="J151" s="66"/>
    </row>
    <row r="152" spans="1:10" x14ac:dyDescent="0.25">
      <c r="A152" s="64" t="s">
        <v>301</v>
      </c>
      <c r="B152" s="167" t="str">
        <f>VLOOKUP(A152,SiteConfig!$A:$C,3,FALSE)</f>
        <v>L008</v>
      </c>
      <c r="C152" s="65">
        <v>1</v>
      </c>
      <c r="D152" s="62" t="s">
        <v>141</v>
      </c>
      <c r="E152" s="65" t="s">
        <v>10</v>
      </c>
      <c r="F152" s="62" t="s">
        <v>161</v>
      </c>
      <c r="G152" s="62"/>
      <c r="H152" s="62" t="s">
        <v>12</v>
      </c>
      <c r="I152" s="65" t="s">
        <v>13</v>
      </c>
      <c r="J152" s="66"/>
    </row>
    <row r="153" spans="1:10" x14ac:dyDescent="0.25">
      <c r="A153" s="64" t="s">
        <v>301</v>
      </c>
      <c r="B153" s="167" t="str">
        <f>VLOOKUP(A153,SiteConfig!$A:$C,3,FALSE)</f>
        <v>L008</v>
      </c>
      <c r="C153" s="65">
        <v>2</v>
      </c>
      <c r="D153" s="62">
        <v>1000</v>
      </c>
      <c r="E153" s="65" t="s">
        <v>10</v>
      </c>
      <c r="F153" s="62">
        <v>1018</v>
      </c>
      <c r="G153" s="62"/>
      <c r="H153" s="62" t="s">
        <v>19</v>
      </c>
      <c r="I153" s="65" t="s">
        <v>14</v>
      </c>
      <c r="J153" s="66"/>
    </row>
    <row r="154" spans="1:10" x14ac:dyDescent="0.25">
      <c r="A154" s="64" t="s">
        <v>301</v>
      </c>
      <c r="B154" s="167" t="str">
        <f>VLOOKUP(A154,SiteConfig!$A:$C,3,FALSE)</f>
        <v>L008</v>
      </c>
      <c r="C154" s="65">
        <v>3</v>
      </c>
      <c r="D154" s="62" t="s">
        <v>162</v>
      </c>
      <c r="E154" s="65" t="s">
        <v>10</v>
      </c>
      <c r="F154" s="62" t="s">
        <v>163</v>
      </c>
      <c r="G154" s="62" t="s">
        <v>31</v>
      </c>
      <c r="H154" s="62" t="s">
        <v>32</v>
      </c>
      <c r="I154" s="65" t="s">
        <v>14</v>
      </c>
      <c r="J154" s="66"/>
    </row>
    <row r="155" spans="1:10" x14ac:dyDescent="0.25">
      <c r="A155" s="64" t="s">
        <v>301</v>
      </c>
      <c r="B155" s="167" t="str">
        <f>VLOOKUP(A155,SiteConfig!$A:$C,3,FALSE)</f>
        <v>L008</v>
      </c>
      <c r="C155" s="65">
        <v>4</v>
      </c>
      <c r="D155" s="62">
        <v>2000</v>
      </c>
      <c r="E155" s="65" t="s">
        <v>10</v>
      </c>
      <c r="F155" s="62">
        <v>2168</v>
      </c>
      <c r="G155" s="62"/>
      <c r="H155" s="62" t="s">
        <v>164</v>
      </c>
      <c r="I155" s="65" t="s">
        <v>14</v>
      </c>
      <c r="J155" s="66"/>
    </row>
    <row r="156" spans="1:10" x14ac:dyDescent="0.25">
      <c r="A156" s="64" t="s">
        <v>301</v>
      </c>
      <c r="B156" s="167" t="str">
        <f>VLOOKUP(A156,SiteConfig!$A:$C,3,FALSE)</f>
        <v>L008</v>
      </c>
      <c r="C156" s="65">
        <v>5</v>
      </c>
      <c r="D156" s="62">
        <v>3000</v>
      </c>
      <c r="E156" s="65" t="s">
        <v>10</v>
      </c>
      <c r="F156" s="62">
        <v>3147</v>
      </c>
      <c r="G156" s="62"/>
      <c r="H156" s="62" t="s">
        <v>19</v>
      </c>
      <c r="I156" s="65" t="s">
        <v>14</v>
      </c>
      <c r="J156" s="66"/>
    </row>
    <row r="157" spans="1:10" x14ac:dyDescent="0.25">
      <c r="A157" s="64" t="s">
        <v>301</v>
      </c>
      <c r="B157" s="167" t="str">
        <f>VLOOKUP(A157,SiteConfig!$A:$C,3,FALSE)</f>
        <v>L008</v>
      </c>
      <c r="C157" s="65">
        <v>6</v>
      </c>
      <c r="D157" s="62">
        <v>4001</v>
      </c>
      <c r="E157" s="65" t="s">
        <v>10</v>
      </c>
      <c r="F157" s="62">
        <v>4218</v>
      </c>
      <c r="G157" s="62"/>
      <c r="H157" s="62" t="s">
        <v>19</v>
      </c>
      <c r="I157" s="65" t="s">
        <v>14</v>
      </c>
      <c r="J157" s="66"/>
    </row>
    <row r="158" spans="1:10" x14ac:dyDescent="0.25">
      <c r="A158" s="64" t="s">
        <v>301</v>
      </c>
      <c r="B158" s="167" t="str">
        <f>VLOOKUP(A158,SiteConfig!$A:$C,3,FALSE)</f>
        <v>L008</v>
      </c>
      <c r="C158" s="65">
        <v>7</v>
      </c>
      <c r="D158" s="62" t="s">
        <v>148</v>
      </c>
      <c r="E158" s="65" t="s">
        <v>10</v>
      </c>
      <c r="F158" s="62" t="s">
        <v>165</v>
      </c>
      <c r="G158" s="62"/>
      <c r="H158" s="62" t="s">
        <v>12</v>
      </c>
      <c r="I158" s="65" t="s">
        <v>14</v>
      </c>
      <c r="J158" s="66"/>
    </row>
    <row r="159" spans="1:10" x14ac:dyDescent="0.25">
      <c r="A159" s="64" t="s">
        <v>301</v>
      </c>
      <c r="B159" s="167" t="str">
        <f>VLOOKUP(A159,SiteConfig!$A:$C,3,FALSE)</f>
        <v>L008</v>
      </c>
      <c r="C159" s="65">
        <v>8</v>
      </c>
      <c r="D159" s="62">
        <v>5045</v>
      </c>
      <c r="E159" s="65" t="s">
        <v>10</v>
      </c>
      <c r="F159" s="62">
        <v>5216</v>
      </c>
      <c r="G159" s="62"/>
      <c r="H159" s="62" t="s">
        <v>19</v>
      </c>
      <c r="I159" s="65" t="s">
        <v>14</v>
      </c>
      <c r="J159" s="66"/>
    </row>
    <row r="160" spans="1:10" ht="15.75" thickBot="1" x14ac:dyDescent="0.3">
      <c r="A160" s="64" t="s">
        <v>301</v>
      </c>
      <c r="B160" s="167" t="str">
        <f>VLOOKUP(A160,SiteConfig!$A:$C,3,FALSE)</f>
        <v>L008</v>
      </c>
      <c r="C160" s="140">
        <v>9</v>
      </c>
      <c r="D160" s="141">
        <v>6001</v>
      </c>
      <c r="E160" s="140" t="s">
        <v>10</v>
      </c>
      <c r="F160" s="141">
        <v>6166</v>
      </c>
      <c r="G160" s="63"/>
      <c r="H160" s="141" t="s">
        <v>164</v>
      </c>
      <c r="I160" s="140" t="s">
        <v>14</v>
      </c>
      <c r="J160" s="142"/>
    </row>
    <row r="161" spans="1:10" x14ac:dyDescent="0.25">
      <c r="A161" s="144" t="s">
        <v>340</v>
      </c>
      <c r="B161" s="167" t="str">
        <f>VLOOKUP(A161,SiteConfig!$A:$C,3,FALSE)</f>
        <v>L006</v>
      </c>
      <c r="C161" s="143">
        <v>1</v>
      </c>
      <c r="D161" s="145" t="s">
        <v>200</v>
      </c>
      <c r="E161" s="143" t="s">
        <v>10</v>
      </c>
      <c r="F161" s="146" t="s">
        <v>199</v>
      </c>
      <c r="H161" s="147" t="s">
        <v>12</v>
      </c>
      <c r="I161" s="143" t="s">
        <v>14</v>
      </c>
      <c r="J161" s="148" t="s">
        <v>14</v>
      </c>
    </row>
    <row r="162" spans="1:10" x14ac:dyDescent="0.25">
      <c r="A162" s="144" t="s">
        <v>340</v>
      </c>
      <c r="B162" s="167" t="str">
        <f>VLOOKUP(A162,SiteConfig!$A:$C,3,FALSE)</f>
        <v>L006</v>
      </c>
      <c r="C162" s="143">
        <v>2</v>
      </c>
      <c r="D162" s="145" t="s">
        <v>198</v>
      </c>
      <c r="E162" s="143" t="s">
        <v>10</v>
      </c>
      <c r="F162" s="146" t="s">
        <v>197</v>
      </c>
      <c r="H162" s="147" t="s">
        <v>12</v>
      </c>
      <c r="I162" s="143" t="s">
        <v>14</v>
      </c>
      <c r="J162" s="148" t="s">
        <v>14</v>
      </c>
    </row>
    <row r="163" spans="1:10" x14ac:dyDescent="0.25">
      <c r="A163" s="144" t="s">
        <v>340</v>
      </c>
      <c r="B163" s="167" t="str">
        <f>VLOOKUP(A163,SiteConfig!$A:$C,3,FALSE)</f>
        <v>L006</v>
      </c>
      <c r="C163" s="143">
        <v>3</v>
      </c>
      <c r="D163" s="145" t="s">
        <v>196</v>
      </c>
      <c r="E163" s="143" t="s">
        <v>10</v>
      </c>
      <c r="F163" s="149" t="s">
        <v>195</v>
      </c>
      <c r="H163" s="147" t="s">
        <v>12</v>
      </c>
      <c r="I163" s="143" t="s">
        <v>14</v>
      </c>
      <c r="J163" s="148" t="s">
        <v>14</v>
      </c>
    </row>
    <row r="164" spans="1:10" x14ac:dyDescent="0.25">
      <c r="A164" s="144" t="s">
        <v>340</v>
      </c>
      <c r="B164" s="167" t="str">
        <f>VLOOKUP(A164,SiteConfig!$A:$C,3,FALSE)</f>
        <v>L006</v>
      </c>
      <c r="C164" s="143">
        <v>4</v>
      </c>
      <c r="D164" s="145" t="s">
        <v>194</v>
      </c>
      <c r="E164" s="143" t="s">
        <v>10</v>
      </c>
      <c r="F164" s="149" t="s">
        <v>193</v>
      </c>
      <c r="H164" s="147" t="s">
        <v>12</v>
      </c>
      <c r="I164" s="143" t="s">
        <v>14</v>
      </c>
      <c r="J164" s="148" t="s">
        <v>14</v>
      </c>
    </row>
    <row r="165" spans="1:10" x14ac:dyDescent="0.25">
      <c r="A165" s="144" t="s">
        <v>340</v>
      </c>
      <c r="B165" s="167" t="str">
        <f>VLOOKUP(A165,SiteConfig!$A:$C,3,FALSE)</f>
        <v>L006</v>
      </c>
      <c r="C165" s="143">
        <v>5</v>
      </c>
      <c r="D165" s="145" t="s">
        <v>192</v>
      </c>
      <c r="E165" s="143" t="s">
        <v>10</v>
      </c>
      <c r="F165" s="149" t="s">
        <v>191</v>
      </c>
      <c r="H165" s="147" t="s">
        <v>12</v>
      </c>
      <c r="I165" s="150" t="s">
        <v>13</v>
      </c>
      <c r="J165" s="148" t="s">
        <v>14</v>
      </c>
    </row>
    <row r="166" spans="1:10" x14ac:dyDescent="0.25">
      <c r="A166" s="144" t="s">
        <v>340</v>
      </c>
      <c r="B166" s="167" t="str">
        <f>VLOOKUP(A166,SiteConfig!$A:$C,3,FALSE)</f>
        <v>L006</v>
      </c>
      <c r="C166" s="143">
        <v>6</v>
      </c>
      <c r="D166" s="145" t="s">
        <v>189</v>
      </c>
      <c r="E166" s="143" t="s">
        <v>10</v>
      </c>
      <c r="F166" s="149" t="s">
        <v>188</v>
      </c>
      <c r="H166" s="147" t="s">
        <v>12</v>
      </c>
      <c r="I166" s="143" t="s">
        <v>14</v>
      </c>
      <c r="J166" s="148" t="s">
        <v>14</v>
      </c>
    </row>
    <row r="167" spans="1:10" x14ac:dyDescent="0.25">
      <c r="A167" s="144" t="s">
        <v>344</v>
      </c>
      <c r="B167" s="167" t="str">
        <f>VLOOKUP(A167,SiteConfig!$A:$C,3,FALSE)</f>
        <v>L011</v>
      </c>
      <c r="C167" s="143">
        <v>1</v>
      </c>
      <c r="D167" s="145" t="s">
        <v>206</v>
      </c>
      <c r="E167" s="143" t="s">
        <v>10</v>
      </c>
      <c r="F167" s="149" t="s">
        <v>205</v>
      </c>
      <c r="H167" s="147" t="s">
        <v>12</v>
      </c>
      <c r="I167" s="150" t="s">
        <v>13</v>
      </c>
      <c r="J167" s="148" t="s">
        <v>14</v>
      </c>
    </row>
    <row r="168" spans="1:10" x14ac:dyDescent="0.25">
      <c r="A168" s="144" t="s">
        <v>344</v>
      </c>
      <c r="B168" s="167" t="str">
        <f>VLOOKUP(A168,SiteConfig!$A:$C,3,FALSE)</f>
        <v>L011</v>
      </c>
      <c r="C168" s="143">
        <v>2</v>
      </c>
      <c r="D168" s="145" t="s">
        <v>204</v>
      </c>
      <c r="E168" s="143" t="s">
        <v>10</v>
      </c>
      <c r="F168" s="149" t="s">
        <v>203</v>
      </c>
      <c r="H168" s="147" t="s">
        <v>12</v>
      </c>
      <c r="I168" s="150" t="s">
        <v>13</v>
      </c>
      <c r="J168" s="148" t="s">
        <v>14</v>
      </c>
    </row>
    <row r="169" spans="1:10" x14ac:dyDescent="0.25">
      <c r="A169" s="144" t="s">
        <v>344</v>
      </c>
      <c r="B169" s="167" t="str">
        <f>VLOOKUP(A169,SiteConfig!$A:$C,3,FALSE)</f>
        <v>L011</v>
      </c>
      <c r="C169" s="143">
        <v>3</v>
      </c>
      <c r="D169" s="145">
        <v>3001</v>
      </c>
      <c r="E169" s="143" t="s">
        <v>10</v>
      </c>
      <c r="F169" s="149">
        <v>3169</v>
      </c>
      <c r="H169" s="147" t="s">
        <v>12</v>
      </c>
      <c r="I169" s="150" t="s">
        <v>14</v>
      </c>
      <c r="J169" s="148" t="s">
        <v>14</v>
      </c>
    </row>
    <row r="170" spans="1:10" x14ac:dyDescent="0.25">
      <c r="A170" s="144" t="s">
        <v>344</v>
      </c>
      <c r="B170" s="167" t="str">
        <f>VLOOKUP(A170,SiteConfig!$A:$C,3,FALSE)</f>
        <v>L011</v>
      </c>
      <c r="C170" s="143">
        <v>4</v>
      </c>
      <c r="D170" s="145">
        <v>4001</v>
      </c>
      <c r="E170" s="143" t="s">
        <v>10</v>
      </c>
      <c r="F170" s="149">
        <v>4149</v>
      </c>
      <c r="H170" s="147" t="s">
        <v>12</v>
      </c>
      <c r="I170" s="150" t="s">
        <v>14</v>
      </c>
      <c r="J170" s="148" t="s">
        <v>14</v>
      </c>
    </row>
    <row r="171" spans="1:10" x14ac:dyDescent="0.25">
      <c r="A171" s="144" t="s">
        <v>344</v>
      </c>
      <c r="B171" s="167" t="str">
        <f>VLOOKUP(A171,SiteConfig!$A:$C,3,FALSE)</f>
        <v>L011</v>
      </c>
      <c r="C171" s="143">
        <v>5</v>
      </c>
      <c r="D171" s="145">
        <v>5001</v>
      </c>
      <c r="E171" s="143" t="s">
        <v>10</v>
      </c>
      <c r="F171" s="149">
        <v>5077</v>
      </c>
      <c r="H171" s="147" t="s">
        <v>12</v>
      </c>
      <c r="I171" s="150" t="s">
        <v>14</v>
      </c>
      <c r="J171" s="148" t="s">
        <v>14</v>
      </c>
    </row>
    <row r="172" spans="1:10" x14ac:dyDescent="0.25">
      <c r="A172" s="144" t="s">
        <v>352</v>
      </c>
      <c r="B172" s="167" t="str">
        <f>VLOOKUP(A172,SiteConfig!$A:$C,3,FALSE)</f>
        <v>L019</v>
      </c>
      <c r="C172" s="143">
        <v>1</v>
      </c>
      <c r="D172" s="145">
        <v>1001</v>
      </c>
      <c r="E172" s="143" t="s">
        <v>10</v>
      </c>
      <c r="F172" s="149">
        <v>1378</v>
      </c>
      <c r="H172" s="147" t="s">
        <v>12</v>
      </c>
      <c r="I172" s="150" t="s">
        <v>13</v>
      </c>
      <c r="J172" s="148" t="s">
        <v>14</v>
      </c>
    </row>
    <row r="173" spans="1:10" x14ac:dyDescent="0.25">
      <c r="A173" s="144" t="s">
        <v>348</v>
      </c>
      <c r="B173" s="167" t="str">
        <f>VLOOKUP(A173,SiteConfig!$A:$C,3,FALSE)</f>
        <v>L013</v>
      </c>
      <c r="C173" s="143">
        <v>1</v>
      </c>
      <c r="D173" s="145">
        <v>1001</v>
      </c>
      <c r="E173" s="143" t="s">
        <v>10</v>
      </c>
      <c r="F173" s="149">
        <v>1086</v>
      </c>
      <c r="H173" s="147" t="s">
        <v>12</v>
      </c>
      <c r="I173" s="150" t="s">
        <v>14</v>
      </c>
      <c r="J173" s="148" t="s">
        <v>14</v>
      </c>
    </row>
    <row r="174" spans="1:10" x14ac:dyDescent="0.25">
      <c r="A174" s="144" t="s">
        <v>218</v>
      </c>
      <c r="B174" s="167" t="str">
        <f>VLOOKUP(A174,SiteConfig!$A:$C,3,FALSE)</f>
        <v>L021</v>
      </c>
      <c r="C174" s="143">
        <v>1</v>
      </c>
      <c r="D174" s="145">
        <v>1001</v>
      </c>
      <c r="E174" s="143" t="s">
        <v>10</v>
      </c>
      <c r="F174" s="149">
        <v>1079</v>
      </c>
      <c r="H174" s="147" t="s">
        <v>12</v>
      </c>
      <c r="I174" s="150" t="s">
        <v>13</v>
      </c>
      <c r="J174" s="148" t="s">
        <v>14</v>
      </c>
    </row>
    <row r="175" spans="1:10" x14ac:dyDescent="0.25">
      <c r="A175" s="144" t="s">
        <v>218</v>
      </c>
      <c r="B175" s="167" t="str">
        <f>VLOOKUP(A175,SiteConfig!$A:$C,3,FALSE)</f>
        <v>L021</v>
      </c>
      <c r="C175" s="143">
        <v>2</v>
      </c>
      <c r="D175" s="145">
        <v>1080</v>
      </c>
      <c r="E175" s="143" t="s">
        <v>10</v>
      </c>
      <c r="F175" s="149">
        <v>1086</v>
      </c>
      <c r="H175" s="147" t="s">
        <v>19</v>
      </c>
      <c r="I175" s="150" t="s">
        <v>13</v>
      </c>
      <c r="J175" s="148" t="s">
        <v>14</v>
      </c>
    </row>
    <row r="176" spans="1:10" x14ac:dyDescent="0.25">
      <c r="A176" s="144" t="s">
        <v>219</v>
      </c>
      <c r="B176" s="167" t="str">
        <f>VLOOKUP(A176,SiteConfig!$A:$C,3,FALSE)</f>
        <v>L023</v>
      </c>
      <c r="C176" s="143">
        <v>1</v>
      </c>
      <c r="D176" s="145">
        <v>2001</v>
      </c>
      <c r="E176" s="143" t="s">
        <v>10</v>
      </c>
      <c r="F176" s="149">
        <v>2104</v>
      </c>
      <c r="H176" s="147" t="s">
        <v>12</v>
      </c>
      <c r="I176" s="150" t="s">
        <v>14</v>
      </c>
      <c r="J176" s="148" t="s">
        <v>14</v>
      </c>
    </row>
    <row r="177" spans="1:10" x14ac:dyDescent="0.25">
      <c r="A177" s="144" t="s">
        <v>220</v>
      </c>
      <c r="B177" s="167" t="str">
        <f>VLOOKUP(A177,SiteConfig!$A:$C,3,FALSE)</f>
        <v>L024</v>
      </c>
      <c r="C177" s="143">
        <v>1</v>
      </c>
      <c r="D177" s="145">
        <v>1001</v>
      </c>
      <c r="E177" s="143" t="s">
        <v>10</v>
      </c>
      <c r="F177" s="149">
        <v>1063</v>
      </c>
      <c r="H177" s="147" t="s">
        <v>12</v>
      </c>
      <c r="I177" s="150" t="s">
        <v>14</v>
      </c>
      <c r="J177" s="148" t="s">
        <v>14</v>
      </c>
    </row>
    <row r="178" spans="1:10" x14ac:dyDescent="0.25">
      <c r="A178" s="144" t="s">
        <v>252</v>
      </c>
      <c r="B178" s="167" t="str">
        <f>VLOOKUP(A178,SiteConfig!$A:$C,3,FALSE)</f>
        <v>L007</v>
      </c>
      <c r="C178" s="143">
        <v>1</v>
      </c>
      <c r="D178" s="145" t="s">
        <v>222</v>
      </c>
      <c r="E178" s="143" t="s">
        <v>10</v>
      </c>
      <c r="F178" s="146" t="s">
        <v>223</v>
      </c>
      <c r="H178" s="147" t="s">
        <v>19</v>
      </c>
      <c r="I178" s="150" t="s">
        <v>14</v>
      </c>
      <c r="J178" s="148" t="s">
        <v>14</v>
      </c>
    </row>
    <row r="179" spans="1:10" x14ac:dyDescent="0.25">
      <c r="A179" s="144" t="s">
        <v>252</v>
      </c>
      <c r="B179" s="167" t="str">
        <f>VLOOKUP(A179,SiteConfig!$A:$C,3,FALSE)</f>
        <v>L007</v>
      </c>
      <c r="C179" s="143">
        <v>2</v>
      </c>
      <c r="D179" s="145" t="s">
        <v>224</v>
      </c>
      <c r="E179" s="143" t="s">
        <v>10</v>
      </c>
      <c r="F179" s="146" t="s">
        <v>224</v>
      </c>
      <c r="H179" s="147" t="s">
        <v>19</v>
      </c>
      <c r="I179" s="150" t="s">
        <v>14</v>
      </c>
      <c r="J179" s="148" t="s">
        <v>14</v>
      </c>
    </row>
    <row r="180" spans="1:10" x14ac:dyDescent="0.25">
      <c r="A180" s="144" t="s">
        <v>252</v>
      </c>
      <c r="B180" s="167" t="str">
        <f>VLOOKUP(A180,SiteConfig!$A:$C,3,FALSE)</f>
        <v>L007</v>
      </c>
      <c r="C180" s="143">
        <v>3</v>
      </c>
      <c r="D180" s="145">
        <v>2000</v>
      </c>
      <c r="E180" s="143" t="s">
        <v>10</v>
      </c>
      <c r="F180" s="149">
        <v>2373</v>
      </c>
      <c r="H180" s="147" t="s">
        <v>19</v>
      </c>
      <c r="I180" s="150" t="s">
        <v>14</v>
      </c>
      <c r="J180" s="148" t="s">
        <v>14</v>
      </c>
    </row>
    <row r="181" spans="1:10" x14ac:dyDescent="0.25">
      <c r="A181" s="144" t="s">
        <v>252</v>
      </c>
      <c r="B181" s="167" t="str">
        <f>VLOOKUP(A181,SiteConfig!$A:$C,3,FALSE)</f>
        <v>L007</v>
      </c>
      <c r="C181" s="143">
        <v>4</v>
      </c>
      <c r="D181" s="145">
        <v>3003</v>
      </c>
      <c r="E181" s="143" t="s">
        <v>10</v>
      </c>
      <c r="F181" s="149">
        <v>3281</v>
      </c>
      <c r="H181" s="147" t="s">
        <v>19</v>
      </c>
      <c r="I181" s="150" t="s">
        <v>14</v>
      </c>
      <c r="J181" s="148" t="s">
        <v>14</v>
      </c>
    </row>
    <row r="182" spans="1:10" x14ac:dyDescent="0.25">
      <c r="A182" s="144" t="s">
        <v>252</v>
      </c>
      <c r="B182" s="167" t="str">
        <f>VLOOKUP(A182,SiteConfig!$A:$C,3,FALSE)</f>
        <v>L007</v>
      </c>
      <c r="C182" s="143">
        <v>5</v>
      </c>
      <c r="D182" s="145">
        <v>4002</v>
      </c>
      <c r="E182" s="143" t="s">
        <v>10</v>
      </c>
      <c r="F182" s="149">
        <v>4260</v>
      </c>
      <c r="H182" s="147" t="s">
        <v>19</v>
      </c>
      <c r="I182" s="150" t="s">
        <v>14</v>
      </c>
      <c r="J182" s="148" t="s">
        <v>14</v>
      </c>
    </row>
    <row r="183" spans="1:10" x14ac:dyDescent="0.25">
      <c r="A183" s="144" t="s">
        <v>252</v>
      </c>
      <c r="B183" s="167" t="str">
        <f>VLOOKUP(A183,SiteConfig!$A:$C,3,FALSE)</f>
        <v>L007</v>
      </c>
      <c r="C183" s="143">
        <v>6</v>
      </c>
      <c r="D183" s="145" t="s">
        <v>50</v>
      </c>
      <c r="E183" s="143" t="s">
        <v>10</v>
      </c>
      <c r="F183" s="146" t="s">
        <v>225</v>
      </c>
      <c r="H183" s="147" t="s">
        <v>12</v>
      </c>
      <c r="I183" s="150" t="s">
        <v>14</v>
      </c>
      <c r="J183" s="148" t="s">
        <v>14</v>
      </c>
    </row>
    <row r="184" spans="1:10" x14ac:dyDescent="0.25">
      <c r="A184" s="144" t="s">
        <v>252</v>
      </c>
      <c r="B184" s="167" t="str">
        <f>VLOOKUP(A184,SiteConfig!$A:$C,3,FALSE)</f>
        <v>L007</v>
      </c>
      <c r="C184" s="143">
        <v>7</v>
      </c>
      <c r="D184" s="145" t="s">
        <v>226</v>
      </c>
      <c r="E184" s="143" t="s">
        <v>10</v>
      </c>
      <c r="F184" s="146" t="s">
        <v>227</v>
      </c>
      <c r="G184" s="62" t="s">
        <v>31</v>
      </c>
      <c r="H184" s="62" t="s">
        <v>32</v>
      </c>
      <c r="I184" s="150" t="s">
        <v>14</v>
      </c>
      <c r="J184" s="148" t="s">
        <v>14</v>
      </c>
    </row>
    <row r="185" spans="1:10" x14ac:dyDescent="0.25">
      <c r="A185" s="144" t="s">
        <v>329</v>
      </c>
      <c r="B185" s="167" t="str">
        <f>VLOOKUP(A185,SiteConfig!$A:$C,3,FALSE)</f>
        <v>L009</v>
      </c>
      <c r="C185" s="143">
        <v>1</v>
      </c>
      <c r="D185" s="145" t="s">
        <v>229</v>
      </c>
      <c r="E185" s="143" t="s">
        <v>10</v>
      </c>
      <c r="F185" s="146" t="s">
        <v>230</v>
      </c>
      <c r="H185" s="147" t="s">
        <v>19</v>
      </c>
      <c r="I185" s="150" t="s">
        <v>14</v>
      </c>
      <c r="J185" s="148" t="s">
        <v>14</v>
      </c>
    </row>
    <row r="186" spans="1:10" x14ac:dyDescent="0.25">
      <c r="A186" s="144" t="s">
        <v>329</v>
      </c>
      <c r="B186" s="167" t="str">
        <f>VLOOKUP(A186,SiteConfig!$A:$C,3,FALSE)</f>
        <v>L009</v>
      </c>
      <c r="C186" s="143">
        <v>2</v>
      </c>
      <c r="D186" s="145">
        <v>1001</v>
      </c>
      <c r="E186" s="143" t="s">
        <v>10</v>
      </c>
      <c r="F186" s="149">
        <v>1685</v>
      </c>
      <c r="H186" s="147" t="s">
        <v>19</v>
      </c>
      <c r="I186" s="150" t="s">
        <v>14</v>
      </c>
      <c r="J186" s="148" t="s">
        <v>14</v>
      </c>
    </row>
    <row r="187" spans="1:10" x14ac:dyDescent="0.25">
      <c r="A187" s="144" t="s">
        <v>329</v>
      </c>
      <c r="B187" s="167" t="str">
        <f>VLOOKUP(A187,SiteConfig!$A:$C,3,FALSE)</f>
        <v>L009</v>
      </c>
      <c r="C187" s="143">
        <v>3</v>
      </c>
      <c r="D187" s="145" t="s">
        <v>231</v>
      </c>
      <c r="E187" s="143" t="s">
        <v>10</v>
      </c>
      <c r="F187" s="146" t="s">
        <v>232</v>
      </c>
      <c r="H187" s="147" t="s">
        <v>12</v>
      </c>
      <c r="I187" s="150" t="s">
        <v>14</v>
      </c>
      <c r="J187" s="148" t="s">
        <v>14</v>
      </c>
    </row>
    <row r="188" spans="1:10" x14ac:dyDescent="0.25">
      <c r="A188" s="144" t="s">
        <v>333</v>
      </c>
      <c r="B188" s="167" t="str">
        <f>VLOOKUP(A188,SiteConfig!$A:$C,3,FALSE)</f>
        <v>L010</v>
      </c>
      <c r="C188" s="143">
        <v>1</v>
      </c>
      <c r="D188" s="145" t="s">
        <v>229</v>
      </c>
      <c r="E188" s="143" t="s">
        <v>10</v>
      </c>
      <c r="F188" s="146" t="s">
        <v>234</v>
      </c>
      <c r="H188" s="147" t="s">
        <v>19</v>
      </c>
      <c r="I188" s="150" t="s">
        <v>14</v>
      </c>
      <c r="J188" s="148" t="s">
        <v>14</v>
      </c>
    </row>
    <row r="189" spans="1:10" x14ac:dyDescent="0.25">
      <c r="A189" s="144" t="s">
        <v>333</v>
      </c>
      <c r="B189" s="167" t="str">
        <f>VLOOKUP(A189,SiteConfig!$A:$C,3,FALSE)</f>
        <v>L010</v>
      </c>
      <c r="C189" s="143">
        <v>2</v>
      </c>
      <c r="D189" s="145" t="s">
        <v>235</v>
      </c>
      <c r="E189" s="143" t="s">
        <v>10</v>
      </c>
      <c r="F189" s="146" t="s">
        <v>235</v>
      </c>
      <c r="H189" s="147" t="s">
        <v>19</v>
      </c>
      <c r="I189" s="150" t="s">
        <v>14</v>
      </c>
      <c r="J189" s="148" t="s">
        <v>14</v>
      </c>
    </row>
    <row r="190" spans="1:10" x14ac:dyDescent="0.25">
      <c r="A190" s="144" t="s">
        <v>333</v>
      </c>
      <c r="B190" s="167" t="str">
        <f>VLOOKUP(A190,SiteConfig!$A:$C,3,FALSE)</f>
        <v>L010</v>
      </c>
      <c r="C190" s="143">
        <v>3</v>
      </c>
      <c r="D190" s="145">
        <v>1001</v>
      </c>
      <c r="E190" s="143" t="s">
        <v>10</v>
      </c>
      <c r="F190" s="149">
        <v>1118</v>
      </c>
      <c r="H190" s="147" t="s">
        <v>19</v>
      </c>
      <c r="I190" s="150" t="s">
        <v>14</v>
      </c>
      <c r="J190" s="148" t="s">
        <v>14</v>
      </c>
    </row>
    <row r="191" spans="1:10" x14ac:dyDescent="0.25">
      <c r="A191" s="144" t="s">
        <v>333</v>
      </c>
      <c r="B191" s="167" t="str">
        <f>VLOOKUP(A191,SiteConfig!$A:$C,3,FALSE)</f>
        <v>L010</v>
      </c>
      <c r="C191" s="143">
        <v>4</v>
      </c>
      <c r="D191" s="145" t="s">
        <v>236</v>
      </c>
      <c r="E191" s="143" t="s">
        <v>10</v>
      </c>
      <c r="F191" s="146" t="s">
        <v>237</v>
      </c>
      <c r="H191" s="147" t="s">
        <v>19</v>
      </c>
      <c r="I191" s="150" t="s">
        <v>14</v>
      </c>
      <c r="J191" s="148" t="s">
        <v>14</v>
      </c>
    </row>
    <row r="192" spans="1:10" x14ac:dyDescent="0.25">
      <c r="A192" s="144" t="s">
        <v>333</v>
      </c>
      <c r="B192" s="167" t="str">
        <f>VLOOKUP(A192,SiteConfig!$A:$C,3,FALSE)</f>
        <v>L010</v>
      </c>
      <c r="C192" s="143">
        <v>5</v>
      </c>
      <c r="D192" s="145">
        <v>2001</v>
      </c>
      <c r="E192" s="143" t="s">
        <v>10</v>
      </c>
      <c r="F192" s="149">
        <v>2186</v>
      </c>
      <c r="H192" s="147" t="s">
        <v>19</v>
      </c>
      <c r="I192" s="150" t="s">
        <v>14</v>
      </c>
      <c r="J192" s="148" t="s">
        <v>14</v>
      </c>
    </row>
    <row r="193" spans="1:10" x14ac:dyDescent="0.25">
      <c r="A193" s="144" t="s">
        <v>333</v>
      </c>
      <c r="B193" s="167" t="str">
        <f>VLOOKUP(A193,SiteConfig!$A:$C,3,FALSE)</f>
        <v>L010</v>
      </c>
      <c r="C193" s="143">
        <v>6</v>
      </c>
      <c r="D193" s="145" t="s">
        <v>238</v>
      </c>
      <c r="E193" s="143" t="s">
        <v>10</v>
      </c>
      <c r="F193" s="146" t="s">
        <v>239</v>
      </c>
      <c r="H193" s="147" t="s">
        <v>19</v>
      </c>
      <c r="I193" s="150" t="s">
        <v>14</v>
      </c>
      <c r="J193" s="148" t="s">
        <v>14</v>
      </c>
    </row>
    <row r="194" spans="1:10" x14ac:dyDescent="0.25">
      <c r="A194" s="144" t="s">
        <v>333</v>
      </c>
      <c r="B194" s="167" t="str">
        <f>VLOOKUP(A194,SiteConfig!$A:$C,3,FALSE)</f>
        <v>L010</v>
      </c>
      <c r="C194" s="143">
        <v>7</v>
      </c>
      <c r="D194" s="145" t="s">
        <v>113</v>
      </c>
      <c r="E194" s="143" t="s">
        <v>10</v>
      </c>
      <c r="F194" s="149" t="s">
        <v>240</v>
      </c>
      <c r="H194" s="147" t="s">
        <v>12</v>
      </c>
      <c r="I194" s="150" t="s">
        <v>14</v>
      </c>
      <c r="J194" s="148" t="s">
        <v>14</v>
      </c>
    </row>
    <row r="195" spans="1:10" x14ac:dyDescent="0.25">
      <c r="A195" s="144" t="s">
        <v>333</v>
      </c>
      <c r="B195" s="167" t="str">
        <f>VLOOKUP(A195,SiteConfig!$A:$C,3,FALSE)</f>
        <v>L010</v>
      </c>
      <c r="C195" s="143">
        <v>8</v>
      </c>
      <c r="D195" s="145" t="s">
        <v>241</v>
      </c>
      <c r="E195" s="143" t="s">
        <v>10</v>
      </c>
      <c r="F195" s="146" t="s">
        <v>242</v>
      </c>
      <c r="G195" s="62" t="s">
        <v>31</v>
      </c>
      <c r="H195" s="62" t="s">
        <v>32</v>
      </c>
      <c r="I195" s="150" t="s">
        <v>14</v>
      </c>
      <c r="J195" s="148" t="s">
        <v>14</v>
      </c>
    </row>
    <row r="196" spans="1:10" x14ac:dyDescent="0.25">
      <c r="A196" s="144" t="s">
        <v>333</v>
      </c>
      <c r="B196" s="167" t="str">
        <f>VLOOKUP(A196,SiteConfig!$A:$C,3,FALSE)</f>
        <v>L010</v>
      </c>
      <c r="C196" s="143">
        <v>9</v>
      </c>
      <c r="D196" s="145" t="s">
        <v>243</v>
      </c>
      <c r="E196" s="143" t="s">
        <v>10</v>
      </c>
      <c r="F196" s="149" t="s">
        <v>244</v>
      </c>
      <c r="G196" s="62" t="s">
        <v>112</v>
      </c>
      <c r="H196" s="62" t="s">
        <v>19</v>
      </c>
      <c r="I196" s="150" t="s">
        <v>14</v>
      </c>
      <c r="J196" s="148" t="s">
        <v>14</v>
      </c>
    </row>
    <row r="197" spans="1:10" x14ac:dyDescent="0.25">
      <c r="A197" s="144" t="s">
        <v>333</v>
      </c>
      <c r="B197" s="167" t="str">
        <f>VLOOKUP(A197,SiteConfig!$A:$C,3,FALSE)</f>
        <v>L010</v>
      </c>
      <c r="C197" s="143">
        <v>10</v>
      </c>
      <c r="D197" s="145" t="s">
        <v>245</v>
      </c>
      <c r="E197" s="143" t="s">
        <v>10</v>
      </c>
      <c r="F197" s="146" t="s">
        <v>246</v>
      </c>
      <c r="G197" s="62" t="s">
        <v>112</v>
      </c>
      <c r="H197" s="62" t="s">
        <v>19</v>
      </c>
      <c r="I197" s="150" t="s">
        <v>14</v>
      </c>
      <c r="J197" s="148" t="s">
        <v>14</v>
      </c>
    </row>
    <row r="198" spans="1:10" x14ac:dyDescent="0.25">
      <c r="A198" s="144" t="s">
        <v>333</v>
      </c>
      <c r="B198" s="167" t="str">
        <f>VLOOKUP(A198,SiteConfig!$A:$C,3,FALSE)</f>
        <v>L010</v>
      </c>
      <c r="C198" s="143">
        <v>11</v>
      </c>
      <c r="D198" s="145" t="s">
        <v>204</v>
      </c>
      <c r="E198" s="143" t="s">
        <v>10</v>
      </c>
      <c r="F198" s="149" t="s">
        <v>247</v>
      </c>
      <c r="G198" s="62" t="s">
        <v>112</v>
      </c>
      <c r="H198" s="62" t="s">
        <v>19</v>
      </c>
      <c r="I198" s="150" t="s">
        <v>14</v>
      </c>
      <c r="J198" s="148" t="s">
        <v>14</v>
      </c>
    </row>
    <row r="199" spans="1:10" x14ac:dyDescent="0.25">
      <c r="A199" s="144" t="s">
        <v>249</v>
      </c>
      <c r="B199" s="167" t="str">
        <f>VLOOKUP(A199,SiteConfig!$A:$C,3,FALSE)</f>
        <v>L026</v>
      </c>
      <c r="C199" s="143">
        <v>1</v>
      </c>
      <c r="D199" s="145">
        <v>3001</v>
      </c>
      <c r="E199" s="143" t="s">
        <v>10</v>
      </c>
      <c r="F199" s="149">
        <v>3220</v>
      </c>
      <c r="H199" s="147" t="s">
        <v>19</v>
      </c>
      <c r="I199" s="150" t="s">
        <v>14</v>
      </c>
      <c r="J199" s="148" t="s">
        <v>14</v>
      </c>
    </row>
    <row r="200" spans="1:10" ht="15.75" thickBot="1" x14ac:dyDescent="0.3">
      <c r="A200" s="151" t="s">
        <v>249</v>
      </c>
      <c r="B200" s="167" t="str">
        <f>VLOOKUP(A200,SiteConfig!$A:$C,3,FALSE)</f>
        <v>L026</v>
      </c>
      <c r="C200" s="152">
        <v>2</v>
      </c>
      <c r="D200" s="154">
        <v>5001</v>
      </c>
      <c r="E200" s="152" t="s">
        <v>10</v>
      </c>
      <c r="F200" s="153">
        <v>5334</v>
      </c>
      <c r="H200" s="155" t="s">
        <v>19</v>
      </c>
      <c r="I200" s="156" t="s">
        <v>14</v>
      </c>
      <c r="J200" s="157" t="s">
        <v>14</v>
      </c>
    </row>
  </sheetData>
  <autoFilter ref="A4:J200" xr:uid="{CC69D6BF-10FD-4DCD-A36A-5BBBF2BF3F2A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I16"/>
  <sheetViews>
    <sheetView workbookViewId="0">
      <selection activeCell="A5" sqref="A5:I6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30.75" customHeight="1" x14ac:dyDescent="0.25">
      <c r="B3" s="170" t="s">
        <v>166</v>
      </c>
      <c r="C3" s="170"/>
      <c r="D3" s="170"/>
      <c r="E3" s="170"/>
      <c r="F3" s="170"/>
      <c r="G3" s="170"/>
    </row>
    <row r="4" spans="1:9" ht="22.5" customHeight="1" x14ac:dyDescent="0.25"/>
    <row r="5" spans="1:9" s="1" customFormat="1" ht="27" customHeigh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7" customHeigh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7" customHeight="1" x14ac:dyDescent="0.25">
      <c r="A7" s="3" t="s">
        <v>8</v>
      </c>
      <c r="B7" s="3">
        <v>1</v>
      </c>
      <c r="C7" s="4" t="s">
        <v>9</v>
      </c>
      <c r="D7" s="4" t="s">
        <v>10</v>
      </c>
      <c r="E7" s="8" t="s">
        <v>11</v>
      </c>
      <c r="F7" s="40"/>
      <c r="G7" s="13" t="s">
        <v>12</v>
      </c>
      <c r="H7" s="29" t="s">
        <v>13</v>
      </c>
      <c r="I7" s="30" t="s">
        <v>14</v>
      </c>
    </row>
    <row r="8" spans="1:9" s="1" customFormat="1" ht="27" customHeight="1" x14ac:dyDescent="0.25">
      <c r="A8" s="3" t="s">
        <v>8</v>
      </c>
      <c r="B8" s="5">
        <v>2</v>
      </c>
      <c r="C8" s="2" t="s">
        <v>15</v>
      </c>
      <c r="D8" s="2" t="s">
        <v>10</v>
      </c>
      <c r="E8" s="9" t="s">
        <v>16</v>
      </c>
      <c r="F8" s="41"/>
      <c r="G8" s="14" t="s">
        <v>12</v>
      </c>
      <c r="H8" s="33" t="s">
        <v>14</v>
      </c>
      <c r="I8" s="34" t="s">
        <v>14</v>
      </c>
    </row>
    <row r="9" spans="1:9" s="1" customFormat="1" ht="27" customHeight="1" x14ac:dyDescent="0.25">
      <c r="A9" s="3" t="s">
        <v>8</v>
      </c>
      <c r="B9" s="5">
        <v>3</v>
      </c>
      <c r="C9" s="2" t="s">
        <v>17</v>
      </c>
      <c r="D9" s="2" t="s">
        <v>10</v>
      </c>
      <c r="E9" s="9" t="s">
        <v>18</v>
      </c>
      <c r="F9" s="41"/>
      <c r="G9" s="14" t="s">
        <v>12</v>
      </c>
      <c r="H9" s="33" t="s">
        <v>14</v>
      </c>
      <c r="I9" s="34" t="s">
        <v>14</v>
      </c>
    </row>
    <row r="10" spans="1:9" s="1" customFormat="1" ht="27" customHeight="1" x14ac:dyDescent="0.25">
      <c r="A10" s="3" t="s">
        <v>8</v>
      </c>
      <c r="B10" s="5">
        <v>4</v>
      </c>
      <c r="C10" s="2">
        <v>4000</v>
      </c>
      <c r="D10" s="2" t="s">
        <v>10</v>
      </c>
      <c r="E10" s="9">
        <v>4020</v>
      </c>
      <c r="F10" s="41"/>
      <c r="G10" s="14" t="s">
        <v>19</v>
      </c>
      <c r="H10" s="33" t="s">
        <v>14</v>
      </c>
      <c r="I10" s="34" t="s">
        <v>14</v>
      </c>
    </row>
    <row r="11" spans="1:9" s="1" customFormat="1" ht="27" customHeight="1" x14ac:dyDescent="0.25">
      <c r="A11" s="3" t="s">
        <v>8</v>
      </c>
      <c r="B11" s="5">
        <v>5</v>
      </c>
      <c r="C11" s="2" t="s">
        <v>20</v>
      </c>
      <c r="D11" s="2" t="s">
        <v>10</v>
      </c>
      <c r="E11" s="9" t="s">
        <v>21</v>
      </c>
      <c r="F11" s="41"/>
      <c r="G11" s="14" t="s">
        <v>12</v>
      </c>
      <c r="H11" s="33" t="s">
        <v>14</v>
      </c>
      <c r="I11" s="34" t="s">
        <v>14</v>
      </c>
    </row>
    <row r="12" spans="1:9" s="1" customFormat="1" ht="27" customHeight="1" x14ac:dyDescent="0.25">
      <c r="A12" s="3" t="s">
        <v>8</v>
      </c>
      <c r="B12" s="5">
        <v>6</v>
      </c>
      <c r="C12" s="2" t="s">
        <v>22</v>
      </c>
      <c r="D12" s="2" t="s">
        <v>10</v>
      </c>
      <c r="E12" s="9" t="s">
        <v>23</v>
      </c>
      <c r="F12" s="41"/>
      <c r="G12" s="14" t="s">
        <v>12</v>
      </c>
      <c r="H12" s="33" t="s">
        <v>13</v>
      </c>
      <c r="I12" s="34" t="s">
        <v>14</v>
      </c>
    </row>
    <row r="13" spans="1:9" s="1" customFormat="1" ht="27" customHeight="1" x14ac:dyDescent="0.25">
      <c r="A13" s="3" t="s">
        <v>8</v>
      </c>
      <c r="B13" s="5">
        <v>7</v>
      </c>
      <c r="C13" s="2">
        <v>4200</v>
      </c>
      <c r="D13" s="2" t="s">
        <v>10</v>
      </c>
      <c r="E13" s="9">
        <v>4223</v>
      </c>
      <c r="F13" s="41"/>
      <c r="G13" s="14" t="s">
        <v>19</v>
      </c>
      <c r="H13" s="33" t="s">
        <v>14</v>
      </c>
      <c r="I13" s="34" t="s">
        <v>14</v>
      </c>
    </row>
    <row r="14" spans="1:9" s="1" customFormat="1" ht="27" customHeight="1" x14ac:dyDescent="0.25">
      <c r="A14" s="3" t="s">
        <v>8</v>
      </c>
      <c r="B14" s="5">
        <v>8</v>
      </c>
      <c r="C14" s="2" t="s">
        <v>24</v>
      </c>
      <c r="D14" s="2" t="s">
        <v>10</v>
      </c>
      <c r="E14" s="9" t="s">
        <v>25</v>
      </c>
      <c r="F14" s="41"/>
      <c r="G14" s="14" t="s">
        <v>12</v>
      </c>
      <c r="H14" s="33" t="s">
        <v>13</v>
      </c>
      <c r="I14" s="34" t="s">
        <v>14</v>
      </c>
    </row>
    <row r="15" spans="1:9" s="1" customFormat="1" ht="27" customHeight="1" x14ac:dyDescent="0.25">
      <c r="A15" s="3" t="s">
        <v>8</v>
      </c>
      <c r="B15" s="5">
        <v>9</v>
      </c>
      <c r="C15" s="2">
        <v>4100</v>
      </c>
      <c r="D15" s="2" t="s">
        <v>10</v>
      </c>
      <c r="E15" s="9">
        <v>4132</v>
      </c>
      <c r="F15" s="41"/>
      <c r="G15" s="14" t="s">
        <v>19</v>
      </c>
      <c r="H15" s="33" t="s">
        <v>13</v>
      </c>
      <c r="I15" s="34" t="s">
        <v>14</v>
      </c>
    </row>
    <row r="16" spans="1:9" s="1" customFormat="1" ht="27" customHeight="1" x14ac:dyDescent="0.25">
      <c r="A16" s="3" t="s">
        <v>8</v>
      </c>
      <c r="B16" s="6">
        <v>10</v>
      </c>
      <c r="C16" s="7">
        <v>6001</v>
      </c>
      <c r="D16" s="7" t="s">
        <v>10</v>
      </c>
      <c r="E16" s="10">
        <v>6183</v>
      </c>
      <c r="F16" s="59"/>
      <c r="G16" s="15" t="s">
        <v>19</v>
      </c>
      <c r="H16" s="38" t="s">
        <v>14</v>
      </c>
      <c r="I16" s="39" t="s">
        <v>14</v>
      </c>
    </row>
  </sheetData>
  <mergeCells count="6">
    <mergeCell ref="A5:A6"/>
    <mergeCell ref="B3:G3"/>
    <mergeCell ref="B5:B6"/>
    <mergeCell ref="C5:E6"/>
    <mergeCell ref="G5:G6"/>
    <mergeCell ref="F5:F6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3CFAE-2278-4A8F-9569-98066D1E87C0}">
  <dimension ref="A3:I14"/>
  <sheetViews>
    <sheetView workbookViewId="0">
      <selection activeCell="F8" sqref="F8:G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167</v>
      </c>
      <c r="C3" s="170"/>
      <c r="D3" s="170"/>
      <c r="E3" s="170"/>
      <c r="F3" s="170"/>
      <c r="G3" s="170"/>
    </row>
    <row r="5" spans="1:9" s="1" customForma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7" customHeight="1" x14ac:dyDescent="0.25">
      <c r="A6" s="169"/>
      <c r="B6" s="169"/>
      <c r="C6" s="174"/>
      <c r="D6" s="175"/>
      <c r="E6" s="176"/>
      <c r="F6" s="178"/>
      <c r="G6" s="178"/>
      <c r="H6" s="17" t="s">
        <v>7</v>
      </c>
      <c r="I6" s="17" t="s">
        <v>7</v>
      </c>
    </row>
    <row r="7" spans="1:9" s="1" customFormat="1" ht="27" customHeight="1" x14ac:dyDescent="0.25">
      <c r="A7" s="1" t="s">
        <v>26</v>
      </c>
      <c r="B7" s="3">
        <v>1</v>
      </c>
      <c r="C7" s="4" t="s">
        <v>27</v>
      </c>
      <c r="D7" s="4" t="s">
        <v>10</v>
      </c>
      <c r="E7" s="4" t="s">
        <v>28</v>
      </c>
      <c r="F7" s="4"/>
      <c r="G7" s="4" t="s">
        <v>12</v>
      </c>
      <c r="H7" s="18" t="s">
        <v>14</v>
      </c>
      <c r="I7" s="19" t="s">
        <v>14</v>
      </c>
    </row>
    <row r="8" spans="1:9" s="1" customFormat="1" ht="27" customHeight="1" x14ac:dyDescent="0.25">
      <c r="A8" s="1" t="s">
        <v>26</v>
      </c>
      <c r="B8" s="5">
        <v>2</v>
      </c>
      <c r="C8" s="2" t="s">
        <v>29</v>
      </c>
      <c r="D8" s="2" t="s">
        <v>10</v>
      </c>
      <c r="E8" s="2" t="s">
        <v>30</v>
      </c>
      <c r="F8" s="40" t="s">
        <v>31</v>
      </c>
      <c r="G8" s="13" t="s">
        <v>32</v>
      </c>
      <c r="H8" s="16" t="s">
        <v>14</v>
      </c>
      <c r="I8" s="20" t="s">
        <v>14</v>
      </c>
    </row>
    <row r="9" spans="1:9" s="1" customFormat="1" ht="27" customHeight="1" x14ac:dyDescent="0.25">
      <c r="A9" s="1" t="s">
        <v>26</v>
      </c>
      <c r="B9" s="5">
        <v>3</v>
      </c>
      <c r="C9" s="2" t="s">
        <v>33</v>
      </c>
      <c r="D9" s="2" t="s">
        <v>10</v>
      </c>
      <c r="E9" s="2" t="s">
        <v>34</v>
      </c>
      <c r="F9" s="2"/>
      <c r="G9" s="2" t="s">
        <v>35</v>
      </c>
      <c r="H9" s="16" t="s">
        <v>14</v>
      </c>
      <c r="I9" s="20" t="s">
        <v>14</v>
      </c>
    </row>
    <row r="10" spans="1:9" s="1" customFormat="1" ht="27" customHeight="1" x14ac:dyDescent="0.25">
      <c r="A10" s="1" t="s">
        <v>26</v>
      </c>
      <c r="B10" s="5">
        <v>4</v>
      </c>
      <c r="C10" s="2" t="s">
        <v>36</v>
      </c>
      <c r="D10" s="2" t="s">
        <v>10</v>
      </c>
      <c r="E10" s="2" t="s">
        <v>37</v>
      </c>
      <c r="F10" s="2"/>
      <c r="G10" s="2" t="s">
        <v>35</v>
      </c>
      <c r="H10" s="16" t="s">
        <v>14</v>
      </c>
      <c r="I10" s="20" t="s">
        <v>14</v>
      </c>
    </row>
    <row r="11" spans="1:9" s="1" customFormat="1" ht="27" customHeight="1" x14ac:dyDescent="0.25">
      <c r="A11" s="1" t="s">
        <v>26</v>
      </c>
      <c r="B11" s="5">
        <v>5</v>
      </c>
      <c r="C11" s="2" t="s">
        <v>38</v>
      </c>
      <c r="D11" s="2" t="s">
        <v>10</v>
      </c>
      <c r="E11" s="2" t="s">
        <v>39</v>
      </c>
      <c r="F11" s="2"/>
      <c r="G11" s="2" t="s">
        <v>12</v>
      </c>
      <c r="H11" s="16" t="s">
        <v>14</v>
      </c>
      <c r="I11" s="20" t="s">
        <v>14</v>
      </c>
    </row>
    <row r="12" spans="1:9" s="1" customFormat="1" ht="27" customHeight="1" x14ac:dyDescent="0.25">
      <c r="A12" s="1" t="s">
        <v>26</v>
      </c>
      <c r="B12" s="5">
        <v>6</v>
      </c>
      <c r="C12" s="2" t="s">
        <v>40</v>
      </c>
      <c r="D12" s="2" t="s">
        <v>10</v>
      </c>
      <c r="E12" s="2" t="s">
        <v>41</v>
      </c>
      <c r="F12" s="2"/>
      <c r="G12" s="2" t="s">
        <v>35</v>
      </c>
      <c r="H12" s="16" t="s">
        <v>14</v>
      </c>
      <c r="I12" s="20" t="s">
        <v>14</v>
      </c>
    </row>
    <row r="13" spans="1:9" s="1" customFormat="1" ht="27" customHeight="1" x14ac:dyDescent="0.25">
      <c r="A13" s="1" t="s">
        <v>26</v>
      </c>
      <c r="B13" s="5">
        <v>7</v>
      </c>
      <c r="C13" s="2" t="s">
        <v>42</v>
      </c>
      <c r="D13" s="2" t="s">
        <v>10</v>
      </c>
      <c r="E13" s="2" t="s">
        <v>43</v>
      </c>
      <c r="F13" s="2"/>
      <c r="G13" s="2" t="s">
        <v>35</v>
      </c>
      <c r="H13" s="16" t="s">
        <v>14</v>
      </c>
      <c r="I13" s="20" t="s">
        <v>14</v>
      </c>
    </row>
    <row r="14" spans="1:9" s="1" customFormat="1" ht="27" customHeight="1" x14ac:dyDescent="0.25">
      <c r="A14" s="1" t="s">
        <v>26</v>
      </c>
      <c r="B14" s="6">
        <v>8</v>
      </c>
      <c r="C14" s="7" t="s">
        <v>44</v>
      </c>
      <c r="D14" s="7" t="s">
        <v>10</v>
      </c>
      <c r="E14" s="7" t="s">
        <v>45</v>
      </c>
      <c r="F14" s="7"/>
      <c r="G14" s="7" t="s">
        <v>35</v>
      </c>
      <c r="H14" s="21" t="s">
        <v>14</v>
      </c>
      <c r="I14" s="22" t="s">
        <v>14</v>
      </c>
    </row>
  </sheetData>
  <mergeCells count="6">
    <mergeCell ref="A5:A6"/>
    <mergeCell ref="B3:G3"/>
    <mergeCell ref="B5:B6"/>
    <mergeCell ref="C5:E6"/>
    <mergeCell ref="G5:G6"/>
    <mergeCell ref="F5:F6"/>
  </mergeCells>
  <pageMargins left="0.11811023622047245" right="0.11811023622047245" top="0.74803149606299213" bottom="0.74803149606299213" header="0.31496062992125984" footer="0.31496062992125984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A561-7C39-4E7D-B2A6-778DBCF0D840}">
  <dimension ref="A3:I22"/>
  <sheetViews>
    <sheetView topLeftCell="A3" workbookViewId="0">
      <selection activeCell="L12" sqref="L12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168</v>
      </c>
      <c r="C3" s="170"/>
      <c r="D3" s="170"/>
      <c r="E3" s="170"/>
      <c r="F3" s="170"/>
      <c r="G3" s="170"/>
    </row>
    <row r="5" spans="1:9" s="1" customForma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4.75" customHeight="1" x14ac:dyDescent="0.25">
      <c r="A6" s="169"/>
      <c r="B6" s="169"/>
      <c r="C6" s="174"/>
      <c r="D6" s="175"/>
      <c r="E6" s="176"/>
      <c r="F6" s="178"/>
      <c r="G6" s="178"/>
      <c r="H6" s="17" t="s">
        <v>7</v>
      </c>
      <c r="I6" s="17" t="s">
        <v>7</v>
      </c>
    </row>
    <row r="7" spans="1:9" s="1" customFormat="1" ht="27" customHeight="1" x14ac:dyDescent="0.25">
      <c r="A7" s="1" t="s">
        <v>46</v>
      </c>
      <c r="B7" s="3">
        <v>1</v>
      </c>
      <c r="C7" s="4">
        <v>1001</v>
      </c>
      <c r="D7" s="4" t="s">
        <v>10</v>
      </c>
      <c r="E7" s="4">
        <v>1527</v>
      </c>
      <c r="F7" s="4"/>
      <c r="G7" s="4" t="s">
        <v>19</v>
      </c>
      <c r="H7" s="18" t="s">
        <v>14</v>
      </c>
      <c r="I7" s="19" t="s">
        <v>14</v>
      </c>
    </row>
    <row r="8" spans="1:9" s="1" customFormat="1" ht="27" customHeight="1" x14ac:dyDescent="0.25">
      <c r="A8" s="1" t="s">
        <v>46</v>
      </c>
      <c r="B8" s="5">
        <v>2</v>
      </c>
      <c r="C8" s="2" t="s">
        <v>47</v>
      </c>
      <c r="D8" s="2" t="s">
        <v>10</v>
      </c>
      <c r="E8" s="2" t="s">
        <v>48</v>
      </c>
      <c r="F8" s="40" t="s">
        <v>31</v>
      </c>
      <c r="G8" s="13" t="s">
        <v>32</v>
      </c>
      <c r="H8" s="16" t="s">
        <v>14</v>
      </c>
      <c r="I8" s="20" t="s">
        <v>14</v>
      </c>
    </row>
    <row r="9" spans="1:9" s="1" customFormat="1" ht="27" customHeight="1" x14ac:dyDescent="0.25">
      <c r="A9" s="1" t="s">
        <v>46</v>
      </c>
      <c r="B9" s="5">
        <v>3</v>
      </c>
      <c r="C9" s="2">
        <v>2001</v>
      </c>
      <c r="D9" s="2" t="s">
        <v>10</v>
      </c>
      <c r="E9" s="2">
        <v>2143</v>
      </c>
      <c r="F9" s="2"/>
      <c r="G9" s="2" t="s">
        <v>49</v>
      </c>
      <c r="H9" s="16" t="s">
        <v>14</v>
      </c>
      <c r="I9" s="20" t="s">
        <v>14</v>
      </c>
    </row>
    <row r="10" spans="1:9" s="1" customFormat="1" ht="27" customHeight="1" x14ac:dyDescent="0.25">
      <c r="A10" s="1" t="s">
        <v>46</v>
      </c>
      <c r="B10" s="5">
        <v>4</v>
      </c>
      <c r="C10" s="2">
        <v>3000</v>
      </c>
      <c r="D10" s="2" t="s">
        <v>10</v>
      </c>
      <c r="E10" s="2">
        <v>3136</v>
      </c>
      <c r="F10" s="2"/>
      <c r="G10" s="2" t="s">
        <v>12</v>
      </c>
      <c r="H10" s="16" t="s">
        <v>14</v>
      </c>
      <c r="I10" s="20" t="s">
        <v>14</v>
      </c>
    </row>
    <row r="11" spans="1:9" s="1" customFormat="1" ht="27" customHeight="1" x14ac:dyDescent="0.25">
      <c r="A11" s="1" t="s">
        <v>46</v>
      </c>
      <c r="B11" s="5">
        <v>5</v>
      </c>
      <c r="C11" s="2" t="s">
        <v>50</v>
      </c>
      <c r="D11" s="2" t="s">
        <v>10</v>
      </c>
      <c r="E11" s="2" t="s">
        <v>51</v>
      </c>
      <c r="F11" s="2"/>
      <c r="G11" s="2" t="s">
        <v>12</v>
      </c>
      <c r="H11" s="16" t="s">
        <v>14</v>
      </c>
      <c r="I11" s="20" t="s">
        <v>14</v>
      </c>
    </row>
    <row r="12" spans="1:9" s="1" customFormat="1" ht="27" customHeight="1" x14ac:dyDescent="0.25">
      <c r="A12" s="1" t="s">
        <v>46</v>
      </c>
      <c r="B12" s="5">
        <v>6</v>
      </c>
      <c r="C12" s="2" t="s">
        <v>52</v>
      </c>
      <c r="D12" s="2" t="s">
        <v>10</v>
      </c>
      <c r="E12" s="2" t="s">
        <v>53</v>
      </c>
      <c r="F12" s="40" t="s">
        <v>31</v>
      </c>
      <c r="G12" s="13" t="s">
        <v>32</v>
      </c>
      <c r="H12" s="16" t="s">
        <v>14</v>
      </c>
      <c r="I12" s="20" t="s">
        <v>14</v>
      </c>
    </row>
    <row r="13" spans="1:9" s="1" customFormat="1" ht="27" customHeight="1" x14ac:dyDescent="0.25">
      <c r="A13" s="1" t="s">
        <v>46</v>
      </c>
      <c r="B13" s="5">
        <v>7</v>
      </c>
      <c r="C13" s="2">
        <v>4001</v>
      </c>
      <c r="D13" s="2" t="s">
        <v>10</v>
      </c>
      <c r="E13" s="2">
        <v>4211</v>
      </c>
      <c r="F13" s="2"/>
      <c r="G13" s="2" t="s">
        <v>12</v>
      </c>
      <c r="H13" s="16" t="s">
        <v>14</v>
      </c>
      <c r="I13" s="20" t="s">
        <v>14</v>
      </c>
    </row>
    <row r="14" spans="1:9" s="1" customFormat="1" ht="27" customHeight="1" x14ac:dyDescent="0.25">
      <c r="A14" s="1" t="s">
        <v>46</v>
      </c>
      <c r="B14" s="5">
        <v>8</v>
      </c>
      <c r="C14" s="2" t="s">
        <v>54</v>
      </c>
      <c r="D14" s="2" t="s">
        <v>10</v>
      </c>
      <c r="E14" s="2" t="s">
        <v>55</v>
      </c>
      <c r="F14" s="40" t="s">
        <v>31</v>
      </c>
      <c r="G14" s="13" t="s">
        <v>32</v>
      </c>
      <c r="H14" s="16" t="s">
        <v>14</v>
      </c>
      <c r="I14" s="20" t="s">
        <v>14</v>
      </c>
    </row>
    <row r="15" spans="1:9" s="1" customFormat="1" ht="27" customHeight="1" x14ac:dyDescent="0.25">
      <c r="A15" s="182" t="s">
        <v>46</v>
      </c>
      <c r="B15" s="183">
        <v>9</v>
      </c>
      <c r="C15" s="184" t="s">
        <v>56</v>
      </c>
      <c r="D15" s="184" t="s">
        <v>10</v>
      </c>
      <c r="E15" s="184">
        <v>5178</v>
      </c>
      <c r="F15" s="184"/>
      <c r="G15" s="184" t="s">
        <v>12</v>
      </c>
      <c r="H15" s="190" t="s">
        <v>14</v>
      </c>
      <c r="I15" s="191" t="s">
        <v>14</v>
      </c>
    </row>
    <row r="16" spans="1:9" s="1" customFormat="1" ht="27" customHeight="1" x14ac:dyDescent="0.25">
      <c r="A16" s="1" t="s">
        <v>46</v>
      </c>
      <c r="B16" s="5">
        <v>10</v>
      </c>
      <c r="C16" s="2" t="s">
        <v>57</v>
      </c>
      <c r="D16" s="2" t="s">
        <v>10</v>
      </c>
      <c r="E16" s="2" t="s">
        <v>58</v>
      </c>
      <c r="F16" s="2"/>
      <c r="G16" s="2" t="s">
        <v>12</v>
      </c>
      <c r="H16" s="16" t="s">
        <v>14</v>
      </c>
      <c r="I16" s="20" t="s">
        <v>14</v>
      </c>
    </row>
    <row r="17" spans="1:9" s="1" customFormat="1" ht="27" customHeight="1" x14ac:dyDescent="0.25">
      <c r="A17" s="182" t="s">
        <v>46</v>
      </c>
      <c r="B17" s="183">
        <v>11</v>
      </c>
      <c r="C17" s="184" t="s">
        <v>59</v>
      </c>
      <c r="D17" s="184" t="s">
        <v>10</v>
      </c>
      <c r="E17" s="184" t="s">
        <v>60</v>
      </c>
      <c r="F17" s="184"/>
      <c r="G17" s="184" t="s">
        <v>19</v>
      </c>
      <c r="H17" s="190" t="s">
        <v>14</v>
      </c>
      <c r="I17" s="191" t="s">
        <v>14</v>
      </c>
    </row>
    <row r="18" spans="1:9" s="1" customFormat="1" ht="27" customHeight="1" x14ac:dyDescent="0.25">
      <c r="A18" s="1" t="s">
        <v>46</v>
      </c>
      <c r="B18" s="5">
        <v>12</v>
      </c>
      <c r="C18" s="2" t="s">
        <v>61</v>
      </c>
      <c r="D18" s="2" t="s">
        <v>10</v>
      </c>
      <c r="E18" s="2" t="s">
        <v>62</v>
      </c>
      <c r="F18" s="40" t="s">
        <v>31</v>
      </c>
      <c r="G18" s="13" t="s">
        <v>32</v>
      </c>
      <c r="H18" s="16" t="s">
        <v>14</v>
      </c>
      <c r="I18" s="20" t="s">
        <v>14</v>
      </c>
    </row>
    <row r="19" spans="1:9" s="1" customFormat="1" ht="27" customHeight="1" x14ac:dyDescent="0.25">
      <c r="A19" s="1" t="s">
        <v>46</v>
      </c>
      <c r="B19" s="5">
        <v>13</v>
      </c>
      <c r="C19" s="2">
        <v>6000</v>
      </c>
      <c r="D19" s="2" t="s">
        <v>10</v>
      </c>
      <c r="E19" s="2">
        <v>6276</v>
      </c>
      <c r="F19" s="2"/>
      <c r="G19" s="2" t="s">
        <v>49</v>
      </c>
      <c r="H19" s="16" t="s">
        <v>14</v>
      </c>
      <c r="I19" s="20" t="s">
        <v>14</v>
      </c>
    </row>
    <row r="20" spans="1:9" s="1" customFormat="1" ht="27" customHeight="1" x14ac:dyDescent="0.25">
      <c r="A20" s="1" t="s">
        <v>46</v>
      </c>
      <c r="B20" s="5">
        <v>14</v>
      </c>
      <c r="C20" s="2">
        <v>7001</v>
      </c>
      <c r="D20" s="2" t="s">
        <v>10</v>
      </c>
      <c r="E20" s="2" t="s">
        <v>63</v>
      </c>
      <c r="F20" s="2"/>
      <c r="G20" s="2" t="s">
        <v>12</v>
      </c>
      <c r="H20" s="16" t="s">
        <v>14</v>
      </c>
      <c r="I20" s="20" t="s">
        <v>14</v>
      </c>
    </row>
    <row r="21" spans="1:9" s="1" customFormat="1" ht="27" customHeight="1" x14ac:dyDescent="0.25">
      <c r="A21" s="1" t="s">
        <v>46</v>
      </c>
      <c r="B21" s="5">
        <v>15</v>
      </c>
      <c r="C21" s="2" t="s">
        <v>64</v>
      </c>
      <c r="D21" s="2" t="s">
        <v>10</v>
      </c>
      <c r="E21" s="2" t="s">
        <v>65</v>
      </c>
      <c r="F21" s="2"/>
      <c r="G21" s="2" t="s">
        <v>12</v>
      </c>
      <c r="H21" s="16" t="s">
        <v>14</v>
      </c>
      <c r="I21" s="20" t="s">
        <v>14</v>
      </c>
    </row>
    <row r="22" spans="1:9" s="1" customFormat="1" ht="27" customHeight="1" x14ac:dyDescent="0.25">
      <c r="A22" s="1" t="s">
        <v>46</v>
      </c>
      <c r="B22" s="6">
        <v>16</v>
      </c>
      <c r="C22" s="7" t="s">
        <v>66</v>
      </c>
      <c r="D22" s="7" t="s">
        <v>10</v>
      </c>
      <c r="E22" s="7" t="s">
        <v>67</v>
      </c>
      <c r="F22" s="40" t="s">
        <v>31</v>
      </c>
      <c r="G22" s="13" t="s">
        <v>32</v>
      </c>
      <c r="H22" s="21" t="s">
        <v>14</v>
      </c>
      <c r="I22" s="22" t="s">
        <v>14</v>
      </c>
    </row>
  </sheetData>
  <mergeCells count="6">
    <mergeCell ref="A5:A6"/>
    <mergeCell ref="B3:G3"/>
    <mergeCell ref="B5:B6"/>
    <mergeCell ref="C5:E6"/>
    <mergeCell ref="G5:G6"/>
    <mergeCell ref="F5:F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F28CC-4492-4BAF-8D6A-2ECF19259C9E}">
  <dimension ref="A1:L13"/>
  <sheetViews>
    <sheetView workbookViewId="0">
      <selection activeCell="A4" sqref="A4:A13"/>
    </sheetView>
  </sheetViews>
  <sheetFormatPr defaultColWidth="8.85546875" defaultRowHeight="15" x14ac:dyDescent="0.25"/>
  <cols>
    <col min="1" max="1" width="3.7109375" customWidth="1"/>
    <col min="2" max="2" width="5.7109375" customWidth="1"/>
    <col min="3" max="6" width="17" style="23" customWidth="1"/>
    <col min="7" max="7" width="19.5703125" style="23" customWidth="1"/>
    <col min="8" max="8" width="17.42578125" style="23" customWidth="1"/>
    <col min="9" max="9" width="20.28515625" style="23" customWidth="1"/>
    <col min="10" max="12" width="8.85546875" style="23"/>
  </cols>
  <sheetData>
    <row r="1" spans="1:12" ht="21" x14ac:dyDescent="0.25">
      <c r="B1" s="179" t="s">
        <v>169</v>
      </c>
      <c r="C1" s="179"/>
      <c r="D1" s="179"/>
      <c r="E1" s="179"/>
      <c r="F1" s="179"/>
      <c r="G1" s="179"/>
      <c r="H1" s="179"/>
      <c r="I1" s="179"/>
    </row>
    <row r="2" spans="1:12" s="1" customFormat="1" ht="15.75" x14ac:dyDescent="0.25">
      <c r="A2" s="168" t="s">
        <v>0</v>
      </c>
      <c r="B2" s="168" t="s">
        <v>1</v>
      </c>
      <c r="C2" s="171" t="s">
        <v>2</v>
      </c>
      <c r="D2" s="172"/>
      <c r="E2" s="173"/>
      <c r="F2" s="177" t="s">
        <v>3</v>
      </c>
      <c r="G2" s="177" t="s">
        <v>4</v>
      </c>
      <c r="H2" s="24" t="s">
        <v>5</v>
      </c>
      <c r="I2" s="24" t="s">
        <v>6</v>
      </c>
      <c r="J2" s="25"/>
      <c r="K2" s="25"/>
      <c r="L2" s="25"/>
    </row>
    <row r="3" spans="1:12" s="1" customFormat="1" ht="15.75" x14ac:dyDescent="0.25">
      <c r="A3" s="169"/>
      <c r="B3" s="169"/>
      <c r="C3" s="174"/>
      <c r="D3" s="175"/>
      <c r="E3" s="176"/>
      <c r="F3" s="178"/>
      <c r="G3" s="178"/>
      <c r="H3" s="26" t="s">
        <v>7</v>
      </c>
      <c r="I3" s="26" t="s">
        <v>7</v>
      </c>
      <c r="J3" s="25"/>
      <c r="K3" s="25"/>
      <c r="L3" s="25"/>
    </row>
    <row r="4" spans="1:12" s="1" customFormat="1" ht="27" customHeight="1" x14ac:dyDescent="0.25">
      <c r="A4" s="1" t="s">
        <v>68</v>
      </c>
      <c r="B4" s="27">
        <v>1</v>
      </c>
      <c r="C4" s="18" t="s">
        <v>69</v>
      </c>
      <c r="D4" s="18" t="s">
        <v>70</v>
      </c>
      <c r="E4" s="28" t="s">
        <v>71</v>
      </c>
      <c r="F4" s="60" t="s">
        <v>72</v>
      </c>
      <c r="G4" s="29" t="s">
        <v>73</v>
      </c>
      <c r="H4" s="29" t="s">
        <v>74</v>
      </c>
      <c r="I4" s="30" t="s">
        <v>170</v>
      </c>
      <c r="J4" s="25"/>
      <c r="K4" s="25"/>
      <c r="L4" s="25"/>
    </row>
    <row r="5" spans="1:12" s="1" customFormat="1" ht="27" customHeight="1" x14ac:dyDescent="0.25">
      <c r="A5" s="1" t="s">
        <v>68</v>
      </c>
      <c r="B5" s="31">
        <v>2</v>
      </c>
      <c r="C5" s="16" t="s">
        <v>76</v>
      </c>
      <c r="D5" s="16" t="s">
        <v>70</v>
      </c>
      <c r="E5" s="32" t="s">
        <v>77</v>
      </c>
      <c r="F5" s="60"/>
      <c r="G5" s="33" t="s">
        <v>171</v>
      </c>
      <c r="H5" s="33" t="s">
        <v>74</v>
      </c>
      <c r="I5" s="34" t="s">
        <v>75</v>
      </c>
      <c r="J5" s="25"/>
      <c r="K5" s="25"/>
      <c r="L5" s="25"/>
    </row>
    <row r="6" spans="1:12" s="1" customFormat="1" ht="27" customHeight="1" x14ac:dyDescent="0.25">
      <c r="A6" s="1" t="s">
        <v>68</v>
      </c>
      <c r="B6" s="31">
        <v>3</v>
      </c>
      <c r="C6" s="16" t="s">
        <v>78</v>
      </c>
      <c r="D6" s="16" t="s">
        <v>70</v>
      </c>
      <c r="E6" s="32" t="s">
        <v>79</v>
      </c>
      <c r="F6" s="60" t="s">
        <v>72</v>
      </c>
      <c r="G6" s="33" t="s">
        <v>171</v>
      </c>
      <c r="H6" s="33" t="s">
        <v>74</v>
      </c>
      <c r="I6" s="34" t="s">
        <v>75</v>
      </c>
      <c r="J6" s="25"/>
      <c r="K6" s="25"/>
      <c r="L6" s="25"/>
    </row>
    <row r="7" spans="1:12" s="1" customFormat="1" ht="30" x14ac:dyDescent="0.25">
      <c r="A7" s="1" t="s">
        <v>68</v>
      </c>
      <c r="B7" s="31">
        <v>4</v>
      </c>
      <c r="C7" s="16" t="s">
        <v>80</v>
      </c>
      <c r="D7" s="16" t="s">
        <v>70</v>
      </c>
      <c r="E7" s="32" t="s">
        <v>81</v>
      </c>
      <c r="F7" s="60"/>
      <c r="G7" s="33" t="s">
        <v>73</v>
      </c>
      <c r="H7" s="33" t="s">
        <v>170</v>
      </c>
      <c r="I7" s="35" t="s">
        <v>172</v>
      </c>
      <c r="J7" s="25"/>
      <c r="K7" s="25"/>
      <c r="L7" s="25"/>
    </row>
    <row r="8" spans="1:12" s="1" customFormat="1" ht="36" customHeight="1" x14ac:dyDescent="0.25">
      <c r="A8" s="1" t="s">
        <v>68</v>
      </c>
      <c r="B8" s="31">
        <v>5</v>
      </c>
      <c r="C8" s="16" t="s">
        <v>83</v>
      </c>
      <c r="D8" s="16" t="s">
        <v>70</v>
      </c>
      <c r="E8" s="32" t="s">
        <v>84</v>
      </c>
      <c r="F8" s="60"/>
      <c r="G8" s="33" t="s">
        <v>73</v>
      </c>
      <c r="H8" s="33" t="s">
        <v>75</v>
      </c>
      <c r="I8" s="34" t="s">
        <v>82</v>
      </c>
      <c r="J8" s="25"/>
      <c r="K8" s="25"/>
      <c r="L8" s="25"/>
    </row>
    <row r="9" spans="1:12" s="1" customFormat="1" ht="27" customHeight="1" x14ac:dyDescent="0.25">
      <c r="A9" s="1" t="s">
        <v>68</v>
      </c>
      <c r="B9" s="31">
        <v>6</v>
      </c>
      <c r="C9" s="16" t="s">
        <v>85</v>
      </c>
      <c r="D9" s="16" t="s">
        <v>70</v>
      </c>
      <c r="E9" s="32" t="s">
        <v>86</v>
      </c>
      <c r="F9" s="60"/>
      <c r="G9" s="33" t="s">
        <v>73</v>
      </c>
      <c r="H9" s="33" t="s">
        <v>74</v>
      </c>
      <c r="I9" s="34" t="s">
        <v>75</v>
      </c>
      <c r="J9" s="25"/>
      <c r="K9" s="25"/>
      <c r="L9" s="25"/>
    </row>
    <row r="10" spans="1:12" s="1" customFormat="1" ht="30" x14ac:dyDescent="0.25">
      <c r="A10" s="1" t="s">
        <v>68</v>
      </c>
      <c r="B10" s="31">
        <v>7</v>
      </c>
      <c r="C10" s="16" t="s">
        <v>87</v>
      </c>
      <c r="D10" s="16" t="s">
        <v>70</v>
      </c>
      <c r="E10" s="32" t="s">
        <v>88</v>
      </c>
      <c r="F10" s="60"/>
      <c r="G10" s="33" t="s">
        <v>73</v>
      </c>
      <c r="H10" s="33" t="s">
        <v>75</v>
      </c>
      <c r="I10" s="35" t="s">
        <v>172</v>
      </c>
      <c r="J10" s="25"/>
      <c r="K10" s="25"/>
      <c r="L10" s="25"/>
    </row>
    <row r="11" spans="1:12" s="1" customFormat="1" ht="30" x14ac:dyDescent="0.25">
      <c r="A11" s="1" t="s">
        <v>68</v>
      </c>
      <c r="B11" s="31">
        <v>8</v>
      </c>
      <c r="C11" s="16" t="s">
        <v>89</v>
      </c>
      <c r="D11" s="16" t="s">
        <v>70</v>
      </c>
      <c r="E11" s="32" t="s">
        <v>90</v>
      </c>
      <c r="F11" s="60"/>
      <c r="G11" s="33" t="s">
        <v>73</v>
      </c>
      <c r="H11" s="33" t="s">
        <v>75</v>
      </c>
      <c r="I11" s="35" t="s">
        <v>172</v>
      </c>
      <c r="J11" s="25"/>
      <c r="K11" s="25"/>
      <c r="L11" s="25"/>
    </row>
    <row r="12" spans="1:12" s="1" customFormat="1" ht="30" x14ac:dyDescent="0.25">
      <c r="A12" s="1" t="s">
        <v>68</v>
      </c>
      <c r="B12" s="31">
        <v>9</v>
      </c>
      <c r="C12" s="16" t="s">
        <v>91</v>
      </c>
      <c r="D12" s="16" t="s">
        <v>70</v>
      </c>
      <c r="E12" s="32" t="s">
        <v>92</v>
      </c>
      <c r="F12" s="60"/>
      <c r="G12" s="33" t="s">
        <v>93</v>
      </c>
      <c r="H12" s="33" t="s">
        <v>74</v>
      </c>
      <c r="I12" s="35" t="s">
        <v>172</v>
      </c>
      <c r="J12" s="25"/>
      <c r="K12" s="25"/>
      <c r="L12" s="25"/>
    </row>
    <row r="13" spans="1:12" s="1" customFormat="1" ht="27" customHeight="1" x14ac:dyDescent="0.25">
      <c r="A13" s="1" t="s">
        <v>68</v>
      </c>
      <c r="B13" s="36">
        <v>10</v>
      </c>
      <c r="C13" s="21" t="s">
        <v>94</v>
      </c>
      <c r="D13" s="21" t="s">
        <v>70</v>
      </c>
      <c r="E13" s="37" t="s">
        <v>95</v>
      </c>
      <c r="F13" s="61"/>
      <c r="G13" s="38" t="s">
        <v>93</v>
      </c>
      <c r="H13" s="38" t="s">
        <v>74</v>
      </c>
      <c r="I13" s="39" t="s">
        <v>75</v>
      </c>
      <c r="J13" s="25"/>
      <c r="K13" s="25"/>
      <c r="L13" s="25"/>
    </row>
  </sheetData>
  <mergeCells count="6">
    <mergeCell ref="A2:A3"/>
    <mergeCell ref="B1:I1"/>
    <mergeCell ref="B2:B3"/>
    <mergeCell ref="C2:E3"/>
    <mergeCell ref="G2:G3"/>
    <mergeCell ref="F2:F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2C675-82C0-4E64-8CF0-5FA67DA0D005}">
  <dimension ref="A1:L19"/>
  <sheetViews>
    <sheetView workbookViewId="0">
      <selection activeCell="A2" sqref="A2:G3"/>
    </sheetView>
  </sheetViews>
  <sheetFormatPr defaultRowHeight="15" x14ac:dyDescent="0.25"/>
  <cols>
    <col min="1" max="1" width="3.7109375" customWidth="1"/>
    <col min="2" max="2" width="5.7109375" customWidth="1"/>
    <col min="3" max="6" width="17" style="23" customWidth="1"/>
    <col min="7" max="7" width="19.5703125" style="23" customWidth="1"/>
    <col min="8" max="8" width="17.42578125" style="23" customWidth="1"/>
    <col min="9" max="9" width="13.42578125" style="23" customWidth="1"/>
    <col min="10" max="12" width="9.140625" style="23"/>
  </cols>
  <sheetData>
    <row r="1" spans="1:12" ht="21" x14ac:dyDescent="0.25">
      <c r="B1" s="179" t="s">
        <v>173</v>
      </c>
      <c r="C1" s="179"/>
      <c r="D1" s="179"/>
      <c r="E1" s="179"/>
      <c r="F1" s="179"/>
      <c r="G1" s="179"/>
      <c r="H1" s="179"/>
      <c r="I1" s="179"/>
    </row>
    <row r="2" spans="1:12" s="1" customFormat="1" ht="15.75" x14ac:dyDescent="0.25">
      <c r="A2" s="168" t="s">
        <v>0</v>
      </c>
      <c r="B2" s="168" t="s">
        <v>1</v>
      </c>
      <c r="C2" s="171" t="s">
        <v>2</v>
      </c>
      <c r="D2" s="172"/>
      <c r="E2" s="173"/>
      <c r="F2" s="177" t="s">
        <v>3</v>
      </c>
      <c r="G2" s="177" t="s">
        <v>4</v>
      </c>
      <c r="H2" s="52" t="s">
        <v>5</v>
      </c>
      <c r="I2" s="52" t="s">
        <v>6</v>
      </c>
      <c r="J2" s="25"/>
      <c r="K2" s="25"/>
      <c r="L2" s="25"/>
    </row>
    <row r="3" spans="1:12" s="1" customFormat="1" ht="26.25" customHeight="1" x14ac:dyDescent="0.25">
      <c r="A3" s="169"/>
      <c r="B3" s="169"/>
      <c r="C3" s="174"/>
      <c r="D3" s="175"/>
      <c r="E3" s="176"/>
      <c r="F3" s="178"/>
      <c r="G3" s="178"/>
      <c r="H3" s="52" t="s">
        <v>7</v>
      </c>
      <c r="I3" s="52" t="s">
        <v>7</v>
      </c>
      <c r="J3" s="25"/>
      <c r="K3" s="25"/>
      <c r="L3" s="25"/>
    </row>
    <row r="4" spans="1:12" s="1" customFormat="1" ht="27" customHeight="1" x14ac:dyDescent="0.25">
      <c r="A4" s="16" t="s">
        <v>96</v>
      </c>
      <c r="B4" s="16">
        <v>1</v>
      </c>
      <c r="C4" s="16">
        <v>4000</v>
      </c>
      <c r="D4" s="16" t="s">
        <v>70</v>
      </c>
      <c r="E4" s="16">
        <v>4026</v>
      </c>
      <c r="F4" s="16"/>
      <c r="G4" s="16" t="s">
        <v>97</v>
      </c>
      <c r="H4" s="16" t="s">
        <v>74</v>
      </c>
      <c r="I4" s="16" t="s">
        <v>174</v>
      </c>
      <c r="J4" s="25"/>
      <c r="K4" s="25"/>
      <c r="L4" s="25"/>
    </row>
    <row r="5" spans="1:12" s="1" customFormat="1" ht="27" customHeight="1" x14ac:dyDescent="0.25">
      <c r="A5" s="16" t="s">
        <v>96</v>
      </c>
      <c r="B5" s="16">
        <v>2</v>
      </c>
      <c r="C5" s="16">
        <v>4100</v>
      </c>
      <c r="D5" s="16" t="s">
        <v>70</v>
      </c>
      <c r="E5" s="16">
        <v>4121</v>
      </c>
      <c r="F5" s="16"/>
      <c r="G5" s="16" t="s">
        <v>97</v>
      </c>
      <c r="H5" s="16" t="s">
        <v>74</v>
      </c>
      <c r="I5" s="16" t="s">
        <v>74</v>
      </c>
      <c r="J5" s="25"/>
      <c r="K5" s="25"/>
      <c r="L5" s="25"/>
    </row>
    <row r="6" spans="1:12" s="1" customFormat="1" ht="27" customHeight="1" x14ac:dyDescent="0.25">
      <c r="A6" s="16" t="s">
        <v>96</v>
      </c>
      <c r="B6" s="16">
        <v>3</v>
      </c>
      <c r="C6" s="16">
        <v>4200</v>
      </c>
      <c r="D6" s="16" t="s">
        <v>70</v>
      </c>
      <c r="E6" s="16">
        <v>4215</v>
      </c>
      <c r="F6" s="16"/>
      <c r="G6" s="16" t="s">
        <v>97</v>
      </c>
      <c r="H6" s="16" t="s">
        <v>74</v>
      </c>
      <c r="I6" s="16" t="s">
        <v>74</v>
      </c>
      <c r="J6" s="25"/>
      <c r="K6" s="25"/>
      <c r="L6" s="25"/>
    </row>
    <row r="7" spans="1:12" s="1" customFormat="1" ht="27" customHeight="1" x14ac:dyDescent="0.25">
      <c r="A7" s="16" t="s">
        <v>96</v>
      </c>
      <c r="B7" s="16">
        <v>4</v>
      </c>
      <c r="C7" s="16">
        <v>4300</v>
      </c>
      <c r="D7" s="16" t="s">
        <v>70</v>
      </c>
      <c r="E7" s="16">
        <v>4330</v>
      </c>
      <c r="F7" s="16"/>
      <c r="G7" s="16" t="s">
        <v>97</v>
      </c>
      <c r="H7" s="16" t="s">
        <v>74</v>
      </c>
      <c r="I7" s="16" t="s">
        <v>170</v>
      </c>
      <c r="J7" s="25"/>
      <c r="K7" s="25"/>
      <c r="L7" s="25"/>
    </row>
    <row r="8" spans="1:12" s="1" customFormat="1" ht="27" customHeight="1" x14ac:dyDescent="0.25">
      <c r="A8" s="16" t="s">
        <v>96</v>
      </c>
      <c r="B8" s="16">
        <v>5</v>
      </c>
      <c r="C8" s="16">
        <v>4400</v>
      </c>
      <c r="D8" s="16" t="s">
        <v>70</v>
      </c>
      <c r="E8" s="16">
        <v>4480</v>
      </c>
      <c r="F8" s="16"/>
      <c r="G8" s="16" t="s">
        <v>97</v>
      </c>
      <c r="H8" s="16" t="s">
        <v>74</v>
      </c>
      <c r="I8" s="16" t="s">
        <v>74</v>
      </c>
      <c r="J8" s="25"/>
      <c r="K8" s="25"/>
      <c r="L8" s="25"/>
    </row>
    <row r="9" spans="1:12" s="1" customFormat="1" ht="27" customHeight="1" x14ac:dyDescent="0.25">
      <c r="A9" s="16" t="s">
        <v>96</v>
      </c>
      <c r="B9" s="16">
        <v>6</v>
      </c>
      <c r="C9" s="16">
        <v>8000</v>
      </c>
      <c r="D9" s="16" t="s">
        <v>70</v>
      </c>
      <c r="E9" s="16">
        <v>8033</v>
      </c>
      <c r="F9" s="16"/>
      <c r="G9" s="16" t="s">
        <v>97</v>
      </c>
      <c r="H9" s="16" t="s">
        <v>74</v>
      </c>
      <c r="I9" s="16" t="s">
        <v>74</v>
      </c>
      <c r="J9" s="25"/>
      <c r="K9" s="25"/>
      <c r="L9" s="25"/>
    </row>
    <row r="10" spans="1:12" s="1" customFormat="1" ht="27" customHeight="1" x14ac:dyDescent="0.25">
      <c r="A10" s="16" t="s">
        <v>96</v>
      </c>
      <c r="B10" s="16">
        <v>7</v>
      </c>
      <c r="C10" s="16">
        <v>8100</v>
      </c>
      <c r="D10" s="16" t="s">
        <v>70</v>
      </c>
      <c r="E10" s="16">
        <v>8185</v>
      </c>
      <c r="F10" s="16"/>
      <c r="G10" s="16" t="s">
        <v>97</v>
      </c>
      <c r="H10" s="16" t="s">
        <v>74</v>
      </c>
      <c r="I10" s="16" t="s">
        <v>74</v>
      </c>
      <c r="J10" s="25"/>
      <c r="K10" s="25"/>
      <c r="L10" s="25"/>
    </row>
    <row r="11" spans="1:12" s="1" customFormat="1" ht="27" customHeight="1" x14ac:dyDescent="0.25">
      <c r="A11" s="16" t="s">
        <v>96</v>
      </c>
      <c r="B11" s="16">
        <v>8</v>
      </c>
      <c r="C11" s="16">
        <v>8300</v>
      </c>
      <c r="D11" s="16" t="s">
        <v>70</v>
      </c>
      <c r="E11" s="16">
        <v>8316</v>
      </c>
      <c r="F11" s="16"/>
      <c r="G11" s="16" t="s">
        <v>97</v>
      </c>
      <c r="H11" s="16" t="s">
        <v>74</v>
      </c>
      <c r="I11" s="16" t="s">
        <v>74</v>
      </c>
      <c r="J11" s="25"/>
      <c r="K11" s="25"/>
      <c r="L11" s="25"/>
    </row>
    <row r="12" spans="1:12" s="1" customFormat="1" ht="27" customHeight="1" x14ac:dyDescent="0.25">
      <c r="A12" s="16" t="s">
        <v>96</v>
      </c>
      <c r="B12" s="16">
        <v>9</v>
      </c>
      <c r="C12" s="16">
        <v>8400</v>
      </c>
      <c r="D12" s="16" t="s">
        <v>70</v>
      </c>
      <c r="E12" s="16">
        <v>8428</v>
      </c>
      <c r="F12" s="16"/>
      <c r="G12" s="16" t="s">
        <v>97</v>
      </c>
      <c r="H12" s="16" t="s">
        <v>74</v>
      </c>
      <c r="I12" s="16" t="s">
        <v>74</v>
      </c>
      <c r="J12" s="25"/>
      <c r="K12" s="25"/>
      <c r="L12" s="25"/>
    </row>
    <row r="13" spans="1:12" s="1" customFormat="1" ht="27" customHeight="1" x14ac:dyDescent="0.25">
      <c r="A13" s="16" t="s">
        <v>96</v>
      </c>
      <c r="B13" s="16">
        <v>10</v>
      </c>
      <c r="C13" s="16">
        <v>8500</v>
      </c>
      <c r="D13" s="16" t="s">
        <v>70</v>
      </c>
      <c r="E13" s="16">
        <v>8531</v>
      </c>
      <c r="F13" s="16"/>
      <c r="G13" s="16" t="s">
        <v>97</v>
      </c>
      <c r="H13" s="16" t="s">
        <v>74</v>
      </c>
      <c r="I13" s="16" t="s">
        <v>74</v>
      </c>
      <c r="J13" s="25"/>
      <c r="K13" s="25"/>
      <c r="L13" s="25"/>
    </row>
    <row r="14" spans="1:12" s="1" customFormat="1" ht="27" customHeight="1" x14ac:dyDescent="0.25">
      <c r="A14" s="16" t="s">
        <v>96</v>
      </c>
      <c r="B14" s="16">
        <v>11</v>
      </c>
      <c r="C14" s="16" t="s">
        <v>20</v>
      </c>
      <c r="D14" s="16" t="s">
        <v>70</v>
      </c>
      <c r="E14" s="16" t="s">
        <v>98</v>
      </c>
      <c r="F14" s="16"/>
      <c r="G14" s="16" t="s">
        <v>73</v>
      </c>
      <c r="H14" s="16" t="s">
        <v>74</v>
      </c>
      <c r="I14" s="16" t="s">
        <v>74</v>
      </c>
      <c r="J14" s="25"/>
      <c r="K14" s="25"/>
      <c r="L14" s="25"/>
    </row>
    <row r="15" spans="1:12" s="1" customFormat="1" ht="27" customHeight="1" x14ac:dyDescent="0.25">
      <c r="A15" s="16" t="s">
        <v>96</v>
      </c>
      <c r="B15" s="16">
        <v>12</v>
      </c>
      <c r="C15" s="16" t="s">
        <v>99</v>
      </c>
      <c r="D15" s="16" t="s">
        <v>70</v>
      </c>
      <c r="E15" s="16" t="s">
        <v>100</v>
      </c>
      <c r="F15" s="16"/>
      <c r="G15" s="16" t="s">
        <v>73</v>
      </c>
      <c r="H15" s="16" t="s">
        <v>74</v>
      </c>
      <c r="I15" s="16" t="s">
        <v>74</v>
      </c>
      <c r="J15" s="25"/>
      <c r="K15" s="25"/>
      <c r="L15" s="25"/>
    </row>
    <row r="16" spans="1:12" s="1" customFormat="1" ht="27" customHeight="1" x14ac:dyDescent="0.25">
      <c r="A16" s="16" t="s">
        <v>96</v>
      </c>
      <c r="B16" s="16">
        <v>13</v>
      </c>
      <c r="C16" s="16" t="s">
        <v>101</v>
      </c>
      <c r="D16" s="16" t="s">
        <v>70</v>
      </c>
      <c r="E16" s="16" t="s">
        <v>102</v>
      </c>
      <c r="F16" s="16"/>
      <c r="G16" s="16" t="s">
        <v>73</v>
      </c>
      <c r="H16" s="16" t="s">
        <v>74</v>
      </c>
      <c r="I16" s="16" t="s">
        <v>74</v>
      </c>
      <c r="J16" s="25"/>
      <c r="K16" s="25"/>
      <c r="L16" s="25"/>
    </row>
    <row r="18" spans="2:9" x14ac:dyDescent="0.25">
      <c r="B18" s="180" t="s">
        <v>175</v>
      </c>
      <c r="C18" s="180"/>
      <c r="D18" s="180"/>
      <c r="E18" s="180"/>
      <c r="F18" s="180"/>
      <c r="G18" s="180"/>
      <c r="H18" s="180"/>
      <c r="I18" s="180"/>
    </row>
    <row r="19" spans="2:9" x14ac:dyDescent="0.25">
      <c r="B19" s="180"/>
      <c r="C19" s="180"/>
      <c r="D19" s="180"/>
      <c r="E19" s="180"/>
      <c r="F19" s="180"/>
      <c r="G19" s="180"/>
      <c r="H19" s="180"/>
      <c r="I19" s="180"/>
    </row>
  </sheetData>
  <mergeCells count="7">
    <mergeCell ref="B18:I19"/>
    <mergeCell ref="A2:A3"/>
    <mergeCell ref="F2:F3"/>
    <mergeCell ref="B1:I1"/>
    <mergeCell ref="B2:B3"/>
    <mergeCell ref="C2:E3"/>
    <mergeCell ref="G2:G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82E08-7710-44A8-B2DE-4B9DA1C99F7F}">
  <dimension ref="A1:I15"/>
  <sheetViews>
    <sheetView topLeftCell="A3" workbookViewId="0">
      <selection activeCell="A4" sqref="A4:A12"/>
    </sheetView>
  </sheetViews>
  <sheetFormatPr defaultColWidth="8.85546875" defaultRowHeight="15" x14ac:dyDescent="0.25"/>
  <cols>
    <col min="1" max="1" width="3.7109375" style="25" customWidth="1"/>
    <col min="2" max="2" width="5.7109375" style="25" customWidth="1"/>
    <col min="3" max="6" width="17" style="25" customWidth="1"/>
    <col min="7" max="7" width="19.5703125" style="25" customWidth="1"/>
    <col min="8" max="8" width="17.42578125" style="25" customWidth="1"/>
    <col min="9" max="9" width="13.42578125" style="25" customWidth="1"/>
    <col min="10" max="16384" width="8.85546875" style="25"/>
  </cols>
  <sheetData>
    <row r="1" spans="1:9" ht="21" x14ac:dyDescent="0.25">
      <c r="B1" s="179" t="s">
        <v>176</v>
      </c>
      <c r="C1" s="179"/>
      <c r="D1" s="179"/>
      <c r="E1" s="179"/>
      <c r="F1" s="179"/>
      <c r="G1" s="179"/>
      <c r="H1" s="179"/>
      <c r="I1" s="179"/>
    </row>
    <row r="2" spans="1:9" ht="15.75" x14ac:dyDescent="0.25">
      <c r="A2" s="168" t="s">
        <v>0</v>
      </c>
      <c r="B2" s="168" t="s">
        <v>1</v>
      </c>
      <c r="C2" s="171" t="s">
        <v>2</v>
      </c>
      <c r="D2" s="172"/>
      <c r="E2" s="173"/>
      <c r="F2" s="177" t="s">
        <v>3</v>
      </c>
      <c r="G2" s="177" t="s">
        <v>4</v>
      </c>
      <c r="H2" s="53" t="s">
        <v>5</v>
      </c>
      <c r="I2" s="54" t="s">
        <v>6</v>
      </c>
    </row>
    <row r="3" spans="1:9" ht="15.75" x14ac:dyDescent="0.25">
      <c r="A3" s="169"/>
      <c r="B3" s="169"/>
      <c r="C3" s="174"/>
      <c r="D3" s="175"/>
      <c r="E3" s="176"/>
      <c r="F3" s="178"/>
      <c r="G3" s="178"/>
      <c r="H3" s="52" t="s">
        <v>7</v>
      </c>
      <c r="I3" s="55" t="s">
        <v>7</v>
      </c>
    </row>
    <row r="4" spans="1:9" ht="27" customHeight="1" x14ac:dyDescent="0.25">
      <c r="A4" s="25" t="s">
        <v>103</v>
      </c>
      <c r="B4" s="31">
        <v>1</v>
      </c>
      <c r="C4" s="16">
        <v>2000</v>
      </c>
      <c r="D4" s="16" t="s">
        <v>70</v>
      </c>
      <c r="E4" s="16">
        <v>2088</v>
      </c>
      <c r="F4" s="16"/>
      <c r="G4" s="16" t="s">
        <v>97</v>
      </c>
      <c r="H4" s="16" t="s">
        <v>74</v>
      </c>
      <c r="I4" s="20" t="s">
        <v>174</v>
      </c>
    </row>
    <row r="5" spans="1:9" ht="27" customHeight="1" x14ac:dyDescent="0.25">
      <c r="A5" s="25" t="s">
        <v>103</v>
      </c>
      <c r="B5" s="31">
        <v>2</v>
      </c>
      <c r="C5" s="16">
        <v>2100</v>
      </c>
      <c r="D5" s="16" t="s">
        <v>70</v>
      </c>
      <c r="E5" s="16">
        <v>2257</v>
      </c>
      <c r="F5" s="16"/>
      <c r="G5" s="16" t="s">
        <v>97</v>
      </c>
      <c r="H5" s="16" t="s">
        <v>74</v>
      </c>
      <c r="I5" s="20" t="s">
        <v>174</v>
      </c>
    </row>
    <row r="6" spans="1:9" ht="27" customHeight="1" x14ac:dyDescent="0.25">
      <c r="A6" s="25" t="s">
        <v>103</v>
      </c>
      <c r="B6" s="31">
        <v>3</v>
      </c>
      <c r="C6" s="16">
        <v>3001</v>
      </c>
      <c r="D6" s="16" t="s">
        <v>70</v>
      </c>
      <c r="E6" s="16">
        <v>3311</v>
      </c>
      <c r="F6" s="16"/>
      <c r="G6" s="16" t="s">
        <v>97</v>
      </c>
      <c r="H6" s="16" t="s">
        <v>74</v>
      </c>
      <c r="I6" s="20" t="s">
        <v>174</v>
      </c>
    </row>
    <row r="7" spans="1:9" ht="27" customHeight="1" x14ac:dyDescent="0.25">
      <c r="A7" s="25" t="s">
        <v>103</v>
      </c>
      <c r="B7" s="31">
        <v>4</v>
      </c>
      <c r="C7" s="16">
        <v>4001</v>
      </c>
      <c r="D7" s="16" t="s">
        <v>70</v>
      </c>
      <c r="E7" s="16">
        <v>4087</v>
      </c>
      <c r="F7" s="16"/>
      <c r="G7" s="16" t="s">
        <v>97</v>
      </c>
      <c r="H7" s="16" t="s">
        <v>74</v>
      </c>
      <c r="I7" s="20" t="s">
        <v>174</v>
      </c>
    </row>
    <row r="8" spans="1:9" ht="27" customHeight="1" x14ac:dyDescent="0.25">
      <c r="A8" s="25" t="s">
        <v>103</v>
      </c>
      <c r="B8" s="31">
        <v>5</v>
      </c>
      <c r="C8" s="16" t="s">
        <v>104</v>
      </c>
      <c r="D8" s="16" t="s">
        <v>70</v>
      </c>
      <c r="E8" s="16" t="s">
        <v>105</v>
      </c>
      <c r="F8" s="16"/>
      <c r="G8" s="16" t="s">
        <v>97</v>
      </c>
      <c r="H8" s="16" t="s">
        <v>74</v>
      </c>
      <c r="I8" s="20" t="s">
        <v>174</v>
      </c>
    </row>
    <row r="9" spans="1:9" ht="27" customHeight="1" x14ac:dyDescent="0.25">
      <c r="A9" s="25" t="s">
        <v>103</v>
      </c>
      <c r="B9" s="31">
        <v>6</v>
      </c>
      <c r="C9" s="16">
        <v>6001</v>
      </c>
      <c r="D9" s="16" t="s">
        <v>70</v>
      </c>
      <c r="E9" s="16" t="s">
        <v>106</v>
      </c>
      <c r="F9" s="16"/>
      <c r="G9" s="16" t="s">
        <v>97</v>
      </c>
      <c r="H9" s="16" t="s">
        <v>74</v>
      </c>
      <c r="I9" s="20" t="s">
        <v>174</v>
      </c>
    </row>
    <row r="10" spans="1:9" ht="27" customHeight="1" x14ac:dyDescent="0.25">
      <c r="A10" s="25" t="s">
        <v>103</v>
      </c>
      <c r="B10" s="31">
        <v>7</v>
      </c>
      <c r="C10" s="16">
        <v>7001</v>
      </c>
      <c r="D10" s="16" t="s">
        <v>70</v>
      </c>
      <c r="E10" s="16">
        <v>7213</v>
      </c>
      <c r="F10" s="16"/>
      <c r="G10" s="16" t="s">
        <v>97</v>
      </c>
      <c r="H10" s="16" t="s">
        <v>74</v>
      </c>
      <c r="I10" s="20" t="s">
        <v>174</v>
      </c>
    </row>
    <row r="11" spans="1:9" ht="27" customHeight="1" x14ac:dyDescent="0.25">
      <c r="A11" s="25" t="s">
        <v>103</v>
      </c>
      <c r="B11" s="56">
        <v>8</v>
      </c>
      <c r="C11" s="57">
        <v>8000</v>
      </c>
      <c r="D11" s="57" t="s">
        <v>70</v>
      </c>
      <c r="E11" s="57">
        <v>8141</v>
      </c>
      <c r="F11" s="57"/>
      <c r="G11" s="57" t="s">
        <v>97</v>
      </c>
      <c r="H11" s="16" t="s">
        <v>74</v>
      </c>
      <c r="I11" s="20" t="s">
        <v>174</v>
      </c>
    </row>
    <row r="12" spans="1:9" ht="31.5" customHeight="1" x14ac:dyDescent="0.25">
      <c r="A12" s="25" t="s">
        <v>103</v>
      </c>
      <c r="B12" s="36">
        <v>9</v>
      </c>
      <c r="C12" s="21" t="s">
        <v>107</v>
      </c>
      <c r="D12" s="21" t="s">
        <v>70</v>
      </c>
      <c r="E12" s="21" t="s">
        <v>108</v>
      </c>
      <c r="F12" s="21"/>
      <c r="G12" s="21" t="s">
        <v>73</v>
      </c>
      <c r="H12" s="21" t="s">
        <v>74</v>
      </c>
      <c r="I12" s="22" t="s">
        <v>174</v>
      </c>
    </row>
    <row r="14" spans="1:9" x14ac:dyDescent="0.25">
      <c r="B14" s="180" t="s">
        <v>177</v>
      </c>
      <c r="C14" s="180"/>
      <c r="D14" s="180"/>
      <c r="E14" s="180"/>
      <c r="F14" s="180"/>
      <c r="G14" s="180"/>
      <c r="H14" s="180"/>
      <c r="I14" s="180"/>
    </row>
    <row r="15" spans="1:9" x14ac:dyDescent="0.25">
      <c r="B15" s="180"/>
      <c r="C15" s="180"/>
      <c r="D15" s="180"/>
      <c r="E15" s="180"/>
      <c r="F15" s="180"/>
      <c r="G15" s="180"/>
      <c r="H15" s="180"/>
      <c r="I15" s="180"/>
    </row>
  </sheetData>
  <mergeCells count="7">
    <mergeCell ref="B14:I15"/>
    <mergeCell ref="A2:A3"/>
    <mergeCell ref="F2:F3"/>
    <mergeCell ref="B1:I1"/>
    <mergeCell ref="B2:B3"/>
    <mergeCell ref="C2:E3"/>
    <mergeCell ref="G2:G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6F4-9CE7-4D1B-A105-8255BAD8D1F8}">
  <dimension ref="A1:I8"/>
  <sheetViews>
    <sheetView workbookViewId="0">
      <selection activeCell="A4" sqref="A4:A8"/>
    </sheetView>
  </sheetViews>
  <sheetFormatPr defaultColWidth="8.85546875" defaultRowHeight="15" x14ac:dyDescent="0.25"/>
  <cols>
    <col min="1" max="1" width="3.7109375" style="25" customWidth="1"/>
    <col min="2" max="2" width="5.7109375" style="25" customWidth="1"/>
    <col min="3" max="6" width="17" style="25" customWidth="1"/>
    <col min="7" max="7" width="19.5703125" style="25" customWidth="1"/>
    <col min="8" max="8" width="17.42578125" style="25" customWidth="1"/>
    <col min="9" max="9" width="13.42578125" style="25" customWidth="1"/>
    <col min="10" max="16384" width="8.85546875" style="25"/>
  </cols>
  <sheetData>
    <row r="1" spans="1:9" ht="21" x14ac:dyDescent="0.25">
      <c r="B1" s="179" t="s">
        <v>178</v>
      </c>
      <c r="C1" s="179"/>
      <c r="D1" s="179"/>
      <c r="E1" s="179"/>
      <c r="F1" s="179"/>
      <c r="G1" s="179"/>
      <c r="H1" s="179"/>
      <c r="I1" s="179"/>
    </row>
    <row r="2" spans="1:9" ht="15.75" x14ac:dyDescent="0.25">
      <c r="A2" s="168" t="s">
        <v>0</v>
      </c>
      <c r="B2" s="168" t="s">
        <v>1</v>
      </c>
      <c r="C2" s="171" t="s">
        <v>2</v>
      </c>
      <c r="D2" s="172"/>
      <c r="E2" s="173"/>
      <c r="F2" s="177" t="s">
        <v>3</v>
      </c>
      <c r="G2" s="177" t="s">
        <v>4</v>
      </c>
      <c r="H2" s="53" t="s">
        <v>5</v>
      </c>
      <c r="I2" s="54" t="s">
        <v>6</v>
      </c>
    </row>
    <row r="3" spans="1:9" ht="15.75" x14ac:dyDescent="0.25">
      <c r="A3" s="169"/>
      <c r="B3" s="169"/>
      <c r="C3" s="174"/>
      <c r="D3" s="175"/>
      <c r="E3" s="176"/>
      <c r="F3" s="178"/>
      <c r="G3" s="178"/>
      <c r="H3" s="52" t="s">
        <v>7</v>
      </c>
      <c r="I3" s="55" t="s">
        <v>7</v>
      </c>
    </row>
    <row r="4" spans="1:9" ht="27" customHeight="1" x14ac:dyDescent="0.25">
      <c r="A4" s="25" t="s">
        <v>109</v>
      </c>
      <c r="B4" s="31">
        <v>1</v>
      </c>
      <c r="C4" s="16">
        <v>1000</v>
      </c>
      <c r="D4" s="16" t="s">
        <v>70</v>
      </c>
      <c r="E4" s="16">
        <v>1109</v>
      </c>
      <c r="F4" s="16"/>
      <c r="G4" s="16" t="s">
        <v>97</v>
      </c>
      <c r="H4" s="16" t="s">
        <v>74</v>
      </c>
      <c r="I4" s="20" t="s">
        <v>174</v>
      </c>
    </row>
    <row r="5" spans="1:9" ht="27" customHeight="1" x14ac:dyDescent="0.25">
      <c r="A5" s="25" t="s">
        <v>109</v>
      </c>
      <c r="B5" s="31">
        <v>2</v>
      </c>
      <c r="C5" s="16">
        <v>1200</v>
      </c>
      <c r="D5" s="16" t="s">
        <v>70</v>
      </c>
      <c r="E5" s="16">
        <v>1281</v>
      </c>
      <c r="F5" s="16"/>
      <c r="G5" s="16" t="s">
        <v>97</v>
      </c>
      <c r="H5" s="16" t="s">
        <v>74</v>
      </c>
      <c r="I5" s="20" t="s">
        <v>174</v>
      </c>
    </row>
    <row r="6" spans="1:9" ht="27" customHeight="1" x14ac:dyDescent="0.25">
      <c r="A6" s="25" t="s">
        <v>109</v>
      </c>
      <c r="B6" s="31">
        <v>3</v>
      </c>
      <c r="C6" s="16">
        <v>1300</v>
      </c>
      <c r="D6" s="16" t="s">
        <v>70</v>
      </c>
      <c r="E6" s="16">
        <v>1391</v>
      </c>
      <c r="F6" s="16"/>
      <c r="G6" s="16" t="s">
        <v>97</v>
      </c>
      <c r="H6" s="16" t="s">
        <v>74</v>
      </c>
      <c r="I6" s="20" t="s">
        <v>174</v>
      </c>
    </row>
    <row r="7" spans="1:9" ht="27" customHeight="1" x14ac:dyDescent="0.25">
      <c r="A7" s="25" t="s">
        <v>109</v>
      </c>
      <c r="B7" s="31">
        <v>4</v>
      </c>
      <c r="C7" s="16">
        <v>4000</v>
      </c>
      <c r="D7" s="16" t="s">
        <v>70</v>
      </c>
      <c r="E7" s="16">
        <v>4218</v>
      </c>
      <c r="F7" s="16"/>
      <c r="G7" s="16" t="s">
        <v>97</v>
      </c>
      <c r="H7" s="16" t="s">
        <v>74</v>
      </c>
      <c r="I7" s="20" t="s">
        <v>174</v>
      </c>
    </row>
    <row r="8" spans="1:9" ht="27" customHeight="1" x14ac:dyDescent="0.25">
      <c r="A8" s="25" t="s">
        <v>109</v>
      </c>
      <c r="B8" s="36">
        <v>5</v>
      </c>
      <c r="C8" s="21" t="s">
        <v>22</v>
      </c>
      <c r="D8" s="21" t="s">
        <v>70</v>
      </c>
      <c r="E8" s="21" t="s">
        <v>110</v>
      </c>
      <c r="F8" s="21"/>
      <c r="G8" s="21" t="s">
        <v>73</v>
      </c>
      <c r="H8" s="21" t="s">
        <v>74</v>
      </c>
      <c r="I8" s="22" t="s">
        <v>174</v>
      </c>
    </row>
  </sheetData>
  <mergeCells count="6">
    <mergeCell ref="B1:I1"/>
    <mergeCell ref="B2:B3"/>
    <mergeCell ref="C2:E3"/>
    <mergeCell ref="G2:G3"/>
    <mergeCell ref="A2:A3"/>
    <mergeCell ref="F2:F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3F748-54B2-43ED-89E7-6533EE98D71A}">
  <dimension ref="A3:I42"/>
  <sheetViews>
    <sheetView topLeftCell="A11" workbookViewId="0">
      <selection activeCell="K26" sqref="K26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style="23" customWidth="1"/>
    <col min="9" max="9" width="13.42578125" style="23" customWidth="1"/>
  </cols>
  <sheetData>
    <row r="3" spans="1:9" ht="16.5" x14ac:dyDescent="0.25">
      <c r="B3" s="170" t="s">
        <v>179</v>
      </c>
      <c r="C3" s="170"/>
      <c r="D3" s="170"/>
      <c r="E3" s="170"/>
      <c r="F3" s="170"/>
      <c r="G3" s="170"/>
    </row>
    <row r="5" spans="1:9" s="1" customForma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7" customHeight="1" x14ac:dyDescent="0.25">
      <c r="A7" s="1" t="s">
        <v>111</v>
      </c>
      <c r="B7" s="3">
        <v>1</v>
      </c>
      <c r="C7" s="4">
        <v>1001</v>
      </c>
      <c r="D7" s="4" t="s">
        <v>10</v>
      </c>
      <c r="E7" s="8">
        <v>1030</v>
      </c>
      <c r="F7" s="40" t="s">
        <v>112</v>
      </c>
      <c r="G7" s="14" t="s">
        <v>19</v>
      </c>
      <c r="H7" s="29" t="s">
        <v>14</v>
      </c>
      <c r="I7" s="30" t="s">
        <v>14</v>
      </c>
    </row>
    <row r="8" spans="1:9" s="1" customFormat="1" ht="27" customHeight="1" x14ac:dyDescent="0.25">
      <c r="A8" s="1" t="s">
        <v>111</v>
      </c>
      <c r="B8" s="5">
        <v>2</v>
      </c>
      <c r="C8" s="2">
        <v>12001</v>
      </c>
      <c r="D8" s="2" t="s">
        <v>10</v>
      </c>
      <c r="E8" s="9">
        <v>12052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7" customHeight="1" x14ac:dyDescent="0.25">
      <c r="A9" s="1" t="s">
        <v>111</v>
      </c>
      <c r="B9" s="5">
        <v>3</v>
      </c>
      <c r="C9" s="2">
        <v>13001</v>
      </c>
      <c r="D9" s="2" t="s">
        <v>10</v>
      </c>
      <c r="E9" s="9">
        <v>13068</v>
      </c>
      <c r="F9" s="41"/>
      <c r="G9" s="14" t="s">
        <v>19</v>
      </c>
      <c r="H9" s="33" t="s">
        <v>14</v>
      </c>
      <c r="I9" s="34" t="s">
        <v>14</v>
      </c>
    </row>
    <row r="10" spans="1:9" s="1" customFormat="1" ht="27" customHeight="1" x14ac:dyDescent="0.25">
      <c r="A10" s="1" t="s">
        <v>111</v>
      </c>
      <c r="B10" s="5">
        <v>4</v>
      </c>
      <c r="C10" s="2">
        <v>14001</v>
      </c>
      <c r="D10" s="2" t="s">
        <v>10</v>
      </c>
      <c r="E10" s="9">
        <v>14027</v>
      </c>
      <c r="F10" s="41"/>
      <c r="G10" s="14" t="s">
        <v>19</v>
      </c>
      <c r="H10" s="33" t="s">
        <v>14</v>
      </c>
      <c r="I10" s="34" t="s">
        <v>14</v>
      </c>
    </row>
    <row r="11" spans="1:9" s="1" customFormat="1" ht="27" customHeight="1" x14ac:dyDescent="0.25">
      <c r="A11" s="1" t="s">
        <v>111</v>
      </c>
      <c r="B11" s="5">
        <v>5</v>
      </c>
      <c r="C11" s="2">
        <v>15001</v>
      </c>
      <c r="D11" s="2" t="s">
        <v>10</v>
      </c>
      <c r="E11" s="9">
        <v>15064</v>
      </c>
      <c r="F11" s="41"/>
      <c r="G11" s="14" t="s">
        <v>19</v>
      </c>
      <c r="H11" s="33" t="s">
        <v>14</v>
      </c>
      <c r="I11" s="34" t="s">
        <v>14</v>
      </c>
    </row>
    <row r="12" spans="1:9" s="1" customFormat="1" ht="27" customHeight="1" x14ac:dyDescent="0.25">
      <c r="A12" s="1" t="s">
        <v>111</v>
      </c>
      <c r="B12" s="5">
        <v>6</v>
      </c>
      <c r="C12" s="2">
        <v>16001</v>
      </c>
      <c r="D12" s="2" t="s">
        <v>10</v>
      </c>
      <c r="E12" s="9">
        <v>16053</v>
      </c>
      <c r="F12" s="41"/>
      <c r="G12" s="14" t="s">
        <v>19</v>
      </c>
      <c r="H12" s="33" t="s">
        <v>14</v>
      </c>
      <c r="I12" s="34" t="s">
        <v>14</v>
      </c>
    </row>
    <row r="13" spans="1:9" s="1" customFormat="1" ht="27" customHeight="1" x14ac:dyDescent="0.25">
      <c r="A13" s="1" t="s">
        <v>111</v>
      </c>
      <c r="B13" s="5">
        <v>7</v>
      </c>
      <c r="C13" s="2" t="s">
        <v>113</v>
      </c>
      <c r="D13" s="2" t="s">
        <v>10</v>
      </c>
      <c r="E13" s="9" t="s">
        <v>114</v>
      </c>
      <c r="F13" s="41"/>
      <c r="G13" s="14" t="s">
        <v>12</v>
      </c>
      <c r="H13" s="33" t="s">
        <v>14</v>
      </c>
      <c r="I13" s="34" t="s">
        <v>14</v>
      </c>
    </row>
    <row r="14" spans="1:9" s="1" customFormat="1" ht="27" customHeight="1" x14ac:dyDescent="0.25">
      <c r="A14" s="1" t="s">
        <v>111</v>
      </c>
      <c r="B14" s="5">
        <v>8</v>
      </c>
      <c r="C14" s="2" t="s">
        <v>115</v>
      </c>
      <c r="D14" s="2" t="s">
        <v>10</v>
      </c>
      <c r="E14" s="9" t="s">
        <v>116</v>
      </c>
      <c r="F14" s="40" t="s">
        <v>31</v>
      </c>
      <c r="G14" s="13" t="s">
        <v>32</v>
      </c>
      <c r="H14" s="33" t="s">
        <v>14</v>
      </c>
      <c r="I14" s="34" t="s">
        <v>14</v>
      </c>
    </row>
    <row r="15" spans="1:9" s="1" customFormat="1" ht="27" customHeight="1" x14ac:dyDescent="0.25">
      <c r="A15" s="1" t="s">
        <v>111</v>
      </c>
      <c r="B15" s="5">
        <v>9</v>
      </c>
      <c r="C15" s="2">
        <v>21001</v>
      </c>
      <c r="D15" s="2" t="s">
        <v>10</v>
      </c>
      <c r="E15" s="9">
        <v>21013</v>
      </c>
      <c r="F15" s="41"/>
      <c r="G15" s="14" t="s">
        <v>19</v>
      </c>
      <c r="H15" s="33" t="s">
        <v>14</v>
      </c>
      <c r="I15" s="34" t="s">
        <v>14</v>
      </c>
    </row>
    <row r="16" spans="1:9" s="1" customFormat="1" ht="27" customHeight="1" x14ac:dyDescent="0.25">
      <c r="A16" s="1" t="s">
        <v>111</v>
      </c>
      <c r="B16" s="5">
        <v>10</v>
      </c>
      <c r="C16" s="2">
        <v>22001</v>
      </c>
      <c r="D16" s="2" t="s">
        <v>10</v>
      </c>
      <c r="E16" s="9">
        <v>22026</v>
      </c>
      <c r="F16" s="41"/>
      <c r="G16" s="14" t="s">
        <v>19</v>
      </c>
      <c r="H16" s="33" t="s">
        <v>14</v>
      </c>
      <c r="I16" s="34" t="s">
        <v>14</v>
      </c>
    </row>
    <row r="17" spans="1:9" s="1" customFormat="1" ht="27" customHeight="1" x14ac:dyDescent="0.25">
      <c r="A17" s="1" t="s">
        <v>111</v>
      </c>
      <c r="B17" s="5">
        <v>11</v>
      </c>
      <c r="C17" s="2">
        <v>23001</v>
      </c>
      <c r="D17" s="2" t="s">
        <v>10</v>
      </c>
      <c r="E17" s="9">
        <v>23086</v>
      </c>
      <c r="F17" s="41"/>
      <c r="G17" s="14" t="s">
        <v>19</v>
      </c>
      <c r="H17" s="33" t="s">
        <v>14</v>
      </c>
      <c r="I17" s="34" t="s">
        <v>14</v>
      </c>
    </row>
    <row r="18" spans="1:9" s="1" customFormat="1" ht="27" customHeight="1" x14ac:dyDescent="0.25">
      <c r="A18" s="1" t="s">
        <v>111</v>
      </c>
      <c r="B18" s="5">
        <v>12</v>
      </c>
      <c r="C18" s="2">
        <v>24001</v>
      </c>
      <c r="D18" s="2" t="s">
        <v>10</v>
      </c>
      <c r="E18" s="9">
        <v>24206</v>
      </c>
      <c r="F18" s="41"/>
      <c r="G18" s="14" t="s">
        <v>19</v>
      </c>
      <c r="H18" s="33" t="s">
        <v>14</v>
      </c>
      <c r="I18" s="34" t="s">
        <v>14</v>
      </c>
    </row>
    <row r="19" spans="1:9" s="1" customFormat="1" ht="27" customHeight="1" x14ac:dyDescent="0.25">
      <c r="A19" s="1" t="s">
        <v>111</v>
      </c>
      <c r="B19" s="5">
        <v>13</v>
      </c>
      <c r="C19" s="2">
        <v>25001</v>
      </c>
      <c r="D19" s="2" t="s">
        <v>10</v>
      </c>
      <c r="E19" s="9">
        <v>25126</v>
      </c>
      <c r="F19" s="41"/>
      <c r="G19" s="14" t="s">
        <v>19</v>
      </c>
      <c r="H19" s="33" t="s">
        <v>14</v>
      </c>
      <c r="I19" s="34" t="s">
        <v>14</v>
      </c>
    </row>
    <row r="20" spans="1:9" s="1" customFormat="1" ht="27" customHeight="1" x14ac:dyDescent="0.25">
      <c r="A20" s="182" t="s">
        <v>111</v>
      </c>
      <c r="B20" s="183">
        <v>14</v>
      </c>
      <c r="C20" s="184">
        <v>27001</v>
      </c>
      <c r="D20" s="184" t="s">
        <v>10</v>
      </c>
      <c r="E20" s="185">
        <v>27032</v>
      </c>
      <c r="F20" s="186"/>
      <c r="G20" s="187" t="s">
        <v>19</v>
      </c>
      <c r="H20" s="188" t="s">
        <v>14</v>
      </c>
      <c r="I20" s="189" t="s">
        <v>14</v>
      </c>
    </row>
    <row r="21" spans="1:9" s="1" customFormat="1" ht="27" customHeight="1" x14ac:dyDescent="0.25">
      <c r="A21" s="182" t="s">
        <v>111</v>
      </c>
      <c r="B21" s="183">
        <v>15</v>
      </c>
      <c r="C21" s="184">
        <v>28001</v>
      </c>
      <c r="D21" s="184" t="s">
        <v>10</v>
      </c>
      <c r="E21" s="185">
        <v>28013</v>
      </c>
      <c r="F21" s="186"/>
      <c r="G21" s="187" t="s">
        <v>19</v>
      </c>
      <c r="H21" s="188" t="s">
        <v>14</v>
      </c>
      <c r="I21" s="189" t="s">
        <v>14</v>
      </c>
    </row>
    <row r="22" spans="1:9" s="1" customFormat="1" ht="27" customHeight="1" x14ac:dyDescent="0.25">
      <c r="A22" s="1" t="s">
        <v>111</v>
      </c>
      <c r="B22" s="5">
        <v>16</v>
      </c>
      <c r="C22" s="2" t="s">
        <v>27</v>
      </c>
      <c r="D22" s="2" t="s">
        <v>10</v>
      </c>
      <c r="E22" s="9" t="s">
        <v>117</v>
      </c>
      <c r="F22" s="41"/>
      <c r="G22" s="14" t="s">
        <v>12</v>
      </c>
      <c r="H22" s="33" t="s">
        <v>14</v>
      </c>
      <c r="I22" s="34" t="s">
        <v>14</v>
      </c>
    </row>
    <row r="23" spans="1:9" s="1" customFormat="1" ht="27" customHeight="1" x14ac:dyDescent="0.25">
      <c r="A23" s="1" t="s">
        <v>111</v>
      </c>
      <c r="B23" s="5">
        <v>17</v>
      </c>
      <c r="C23" s="2">
        <v>32001</v>
      </c>
      <c r="D23" s="2" t="s">
        <v>10</v>
      </c>
      <c r="E23" s="9">
        <v>32026</v>
      </c>
      <c r="F23" s="41"/>
      <c r="G23" s="14" t="s">
        <v>19</v>
      </c>
      <c r="H23" s="33" t="s">
        <v>14</v>
      </c>
      <c r="I23" s="34" t="s">
        <v>14</v>
      </c>
    </row>
    <row r="24" spans="1:9" s="1" customFormat="1" ht="27" customHeight="1" x14ac:dyDescent="0.25">
      <c r="A24" s="1" t="s">
        <v>111</v>
      </c>
      <c r="B24" s="5">
        <v>18</v>
      </c>
      <c r="C24" s="2">
        <v>33001</v>
      </c>
      <c r="D24" s="2" t="s">
        <v>10</v>
      </c>
      <c r="E24" s="9">
        <v>33095</v>
      </c>
      <c r="F24" s="41"/>
      <c r="G24" s="14" t="s">
        <v>19</v>
      </c>
      <c r="H24" s="33" t="s">
        <v>14</v>
      </c>
      <c r="I24" s="34" t="s">
        <v>14</v>
      </c>
    </row>
    <row r="25" spans="1:9" s="1" customFormat="1" ht="27" customHeight="1" x14ac:dyDescent="0.25">
      <c r="A25" s="1" t="s">
        <v>111</v>
      </c>
      <c r="B25" s="5">
        <v>19</v>
      </c>
      <c r="C25" s="2">
        <v>34001</v>
      </c>
      <c r="D25" s="2" t="s">
        <v>10</v>
      </c>
      <c r="E25" s="9">
        <v>34107</v>
      </c>
      <c r="F25" s="41"/>
      <c r="G25" s="14" t="s">
        <v>19</v>
      </c>
      <c r="H25" s="33" t="s">
        <v>14</v>
      </c>
      <c r="I25" s="34" t="s">
        <v>14</v>
      </c>
    </row>
    <row r="26" spans="1:9" s="1" customFormat="1" ht="27" customHeight="1" x14ac:dyDescent="0.25">
      <c r="A26" s="1" t="s">
        <v>111</v>
      </c>
      <c r="B26" s="5">
        <v>20</v>
      </c>
      <c r="C26" s="2">
        <v>35001</v>
      </c>
      <c r="D26" s="2" t="s">
        <v>10</v>
      </c>
      <c r="E26" s="9">
        <v>35119</v>
      </c>
      <c r="F26" s="41"/>
      <c r="G26" s="14" t="s">
        <v>19</v>
      </c>
      <c r="H26" s="33" t="s">
        <v>14</v>
      </c>
      <c r="I26" s="34" t="s">
        <v>14</v>
      </c>
    </row>
    <row r="27" spans="1:9" s="1" customFormat="1" ht="27" customHeight="1" x14ac:dyDescent="0.25">
      <c r="A27" s="1" t="s">
        <v>111</v>
      </c>
      <c r="B27" s="5">
        <v>21</v>
      </c>
      <c r="C27" s="2">
        <v>36001</v>
      </c>
      <c r="D27" s="2" t="s">
        <v>10</v>
      </c>
      <c r="E27" s="9">
        <v>36104</v>
      </c>
      <c r="F27" s="41"/>
      <c r="G27" s="14" t="s">
        <v>19</v>
      </c>
      <c r="H27" s="33" t="s">
        <v>14</v>
      </c>
      <c r="I27" s="34" t="s">
        <v>14</v>
      </c>
    </row>
    <row r="28" spans="1:9" s="1" customFormat="1" ht="27" customHeight="1" x14ac:dyDescent="0.25">
      <c r="A28" s="1" t="s">
        <v>111</v>
      </c>
      <c r="B28" s="5">
        <v>22</v>
      </c>
      <c r="C28" s="2">
        <v>37001</v>
      </c>
      <c r="D28" s="2" t="s">
        <v>10</v>
      </c>
      <c r="E28" s="9">
        <v>37043</v>
      </c>
      <c r="F28" s="41"/>
      <c r="G28" s="14" t="s">
        <v>19</v>
      </c>
      <c r="H28" s="33" t="s">
        <v>14</v>
      </c>
      <c r="I28" s="34" t="s">
        <v>14</v>
      </c>
    </row>
    <row r="29" spans="1:9" s="1" customFormat="1" ht="27" customHeight="1" x14ac:dyDescent="0.25">
      <c r="A29" s="1" t="s">
        <v>111</v>
      </c>
      <c r="B29" s="5">
        <v>23</v>
      </c>
      <c r="C29" s="2" t="s">
        <v>50</v>
      </c>
      <c r="D29" s="2" t="s">
        <v>10</v>
      </c>
      <c r="E29" s="9" t="s">
        <v>118</v>
      </c>
      <c r="F29" s="41"/>
      <c r="G29" s="14" t="s">
        <v>12</v>
      </c>
      <c r="H29" s="33" t="s">
        <v>14</v>
      </c>
      <c r="I29" s="34" t="s">
        <v>14</v>
      </c>
    </row>
    <row r="30" spans="1:9" s="1" customFormat="1" ht="27" customHeight="1" x14ac:dyDescent="0.25">
      <c r="A30" s="1" t="s">
        <v>111</v>
      </c>
      <c r="B30" s="5">
        <v>24</v>
      </c>
      <c r="C30" s="2" t="s">
        <v>52</v>
      </c>
      <c r="D30" s="2" t="s">
        <v>10</v>
      </c>
      <c r="E30" s="9" t="s">
        <v>119</v>
      </c>
      <c r="F30" s="40" t="s">
        <v>31</v>
      </c>
      <c r="G30" s="13" t="s">
        <v>32</v>
      </c>
      <c r="H30" s="33" t="s">
        <v>14</v>
      </c>
      <c r="I30" s="34" t="s">
        <v>14</v>
      </c>
    </row>
    <row r="31" spans="1:9" s="1" customFormat="1" ht="27" customHeight="1" x14ac:dyDescent="0.25">
      <c r="A31" s="1" t="s">
        <v>111</v>
      </c>
      <c r="B31" s="5">
        <v>25</v>
      </c>
      <c r="C31" s="2">
        <v>42001</v>
      </c>
      <c r="D31" s="2" t="s">
        <v>10</v>
      </c>
      <c r="E31" s="9">
        <v>42021</v>
      </c>
      <c r="F31" s="41"/>
      <c r="G31" s="14" t="s">
        <v>19</v>
      </c>
      <c r="H31" s="33" t="s">
        <v>14</v>
      </c>
      <c r="I31" s="34" t="s">
        <v>14</v>
      </c>
    </row>
    <row r="32" spans="1:9" s="1" customFormat="1" ht="27" customHeight="1" x14ac:dyDescent="0.25">
      <c r="A32" s="1" t="s">
        <v>111</v>
      </c>
      <c r="B32" s="5">
        <v>26</v>
      </c>
      <c r="C32" s="2">
        <v>43001</v>
      </c>
      <c r="D32" s="2" t="s">
        <v>10</v>
      </c>
      <c r="E32" s="9">
        <v>43060</v>
      </c>
      <c r="F32" s="41"/>
      <c r="G32" s="14" t="s">
        <v>19</v>
      </c>
      <c r="H32" s="33" t="s">
        <v>14</v>
      </c>
      <c r="I32" s="34" t="s">
        <v>14</v>
      </c>
    </row>
    <row r="33" spans="1:9" s="1" customFormat="1" ht="27" customHeight="1" x14ac:dyDescent="0.25">
      <c r="A33" s="1" t="s">
        <v>111</v>
      </c>
      <c r="B33" s="5">
        <v>27</v>
      </c>
      <c r="C33" s="2">
        <v>44001</v>
      </c>
      <c r="D33" s="2" t="s">
        <v>10</v>
      </c>
      <c r="E33" s="9">
        <v>44046</v>
      </c>
      <c r="F33" s="41"/>
      <c r="G33" s="14" t="s">
        <v>19</v>
      </c>
      <c r="H33" s="33" t="s">
        <v>14</v>
      </c>
      <c r="I33" s="34" t="s">
        <v>14</v>
      </c>
    </row>
    <row r="34" spans="1:9" s="1" customFormat="1" ht="27" customHeight="1" x14ac:dyDescent="0.25">
      <c r="A34" s="1" t="s">
        <v>111</v>
      </c>
      <c r="B34" s="5">
        <v>28</v>
      </c>
      <c r="C34" s="2">
        <v>45001</v>
      </c>
      <c r="D34" s="2" t="s">
        <v>10</v>
      </c>
      <c r="E34" s="9">
        <v>45113</v>
      </c>
      <c r="F34" s="41"/>
      <c r="G34" s="14" t="s">
        <v>19</v>
      </c>
      <c r="H34" s="33" t="s">
        <v>14</v>
      </c>
      <c r="I34" s="34" t="s">
        <v>14</v>
      </c>
    </row>
    <row r="35" spans="1:9" s="1" customFormat="1" ht="27" customHeight="1" x14ac:dyDescent="0.25">
      <c r="A35" s="1" t="s">
        <v>111</v>
      </c>
      <c r="B35" s="5">
        <v>29</v>
      </c>
      <c r="C35" s="2">
        <v>46001</v>
      </c>
      <c r="D35" s="2" t="s">
        <v>10</v>
      </c>
      <c r="E35" s="9">
        <v>46076</v>
      </c>
      <c r="F35" s="41"/>
      <c r="G35" s="14" t="s">
        <v>19</v>
      </c>
      <c r="H35" s="33" t="s">
        <v>14</v>
      </c>
      <c r="I35" s="34" t="s">
        <v>14</v>
      </c>
    </row>
    <row r="36" spans="1:9" s="1" customFormat="1" ht="27" customHeight="1" x14ac:dyDescent="0.25">
      <c r="A36" s="1" t="s">
        <v>111</v>
      </c>
      <c r="B36" s="5">
        <v>30</v>
      </c>
      <c r="C36" s="2">
        <v>47001</v>
      </c>
      <c r="D36" s="2" t="s">
        <v>10</v>
      </c>
      <c r="E36" s="9">
        <v>47022</v>
      </c>
      <c r="F36" s="41"/>
      <c r="G36" s="14" t="s">
        <v>19</v>
      </c>
      <c r="H36" s="33" t="s">
        <v>14</v>
      </c>
      <c r="I36" s="34" t="s">
        <v>14</v>
      </c>
    </row>
    <row r="37" spans="1:9" s="1" customFormat="1" ht="27" customHeight="1" x14ac:dyDescent="0.25">
      <c r="A37" s="1" t="s">
        <v>111</v>
      </c>
      <c r="B37" s="5">
        <v>31</v>
      </c>
      <c r="C37" s="2">
        <v>48000</v>
      </c>
      <c r="D37" s="2" t="s">
        <v>10</v>
      </c>
      <c r="E37" s="9">
        <v>48011</v>
      </c>
      <c r="F37" s="41"/>
      <c r="G37" s="14" t="s">
        <v>19</v>
      </c>
      <c r="H37" s="33" t="s">
        <v>14</v>
      </c>
      <c r="I37" s="34" t="s">
        <v>14</v>
      </c>
    </row>
    <row r="38" spans="1:9" s="1" customFormat="1" ht="27" customHeight="1" x14ac:dyDescent="0.25">
      <c r="A38" s="1" t="s">
        <v>111</v>
      </c>
      <c r="B38" s="5">
        <v>32</v>
      </c>
      <c r="C38" s="2">
        <v>48101</v>
      </c>
      <c r="D38" s="2" t="s">
        <v>10</v>
      </c>
      <c r="E38" s="9">
        <v>48108</v>
      </c>
      <c r="F38" s="41"/>
      <c r="G38" s="14" t="s">
        <v>19</v>
      </c>
      <c r="H38" s="33" t="s">
        <v>14</v>
      </c>
      <c r="I38" s="34" t="s">
        <v>14</v>
      </c>
    </row>
    <row r="39" spans="1:9" s="1" customFormat="1" ht="27" customHeight="1" x14ac:dyDescent="0.25">
      <c r="A39" s="1" t="s">
        <v>111</v>
      </c>
      <c r="B39" s="5">
        <v>33</v>
      </c>
      <c r="C39" s="2">
        <v>48200</v>
      </c>
      <c r="D39" s="2" t="s">
        <v>10</v>
      </c>
      <c r="E39" s="9">
        <v>48214</v>
      </c>
      <c r="F39" s="41"/>
      <c r="G39" s="14" t="s">
        <v>19</v>
      </c>
      <c r="H39" s="33" t="s">
        <v>14</v>
      </c>
      <c r="I39" s="34" t="s">
        <v>14</v>
      </c>
    </row>
    <row r="40" spans="1:9" s="1" customFormat="1" ht="27" customHeight="1" x14ac:dyDescent="0.25">
      <c r="A40" s="1" t="s">
        <v>111</v>
      </c>
      <c r="B40" s="5">
        <v>34</v>
      </c>
      <c r="C40" s="2">
        <v>48300</v>
      </c>
      <c r="D40" s="2" t="s">
        <v>10</v>
      </c>
      <c r="E40" s="9">
        <v>48312</v>
      </c>
      <c r="F40" s="41"/>
      <c r="G40" s="14" t="s">
        <v>19</v>
      </c>
      <c r="H40" s="33" t="s">
        <v>14</v>
      </c>
      <c r="I40" s="34" t="s">
        <v>14</v>
      </c>
    </row>
    <row r="41" spans="1:9" s="1" customFormat="1" ht="27" customHeight="1" x14ac:dyDescent="0.25">
      <c r="A41" s="1" t="s">
        <v>111</v>
      </c>
      <c r="B41" s="5">
        <v>35</v>
      </c>
      <c r="C41" s="2">
        <v>48401</v>
      </c>
      <c r="D41" s="2" t="s">
        <v>10</v>
      </c>
      <c r="E41" s="9">
        <v>48407</v>
      </c>
      <c r="F41" s="41"/>
      <c r="G41" s="14" t="s">
        <v>19</v>
      </c>
      <c r="H41" s="33" t="s">
        <v>14</v>
      </c>
      <c r="I41" s="34" t="s">
        <v>14</v>
      </c>
    </row>
    <row r="42" spans="1:9" s="1" customFormat="1" ht="27" customHeight="1" x14ac:dyDescent="0.25">
      <c r="A42" s="1" t="s">
        <v>111</v>
      </c>
      <c r="B42" s="6">
        <v>36</v>
      </c>
      <c r="C42" s="7">
        <v>48500</v>
      </c>
      <c r="D42" s="7" t="s">
        <v>10</v>
      </c>
      <c r="E42" s="10">
        <v>48518</v>
      </c>
      <c r="F42" s="59"/>
      <c r="G42" s="15" t="s">
        <v>19</v>
      </c>
      <c r="H42" s="38" t="s">
        <v>14</v>
      </c>
      <c r="I42" s="39" t="s">
        <v>14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271C7-D011-4A17-B26E-DF7FB3AC726D}">
  <dimension ref="A3:I36"/>
  <sheetViews>
    <sheetView topLeftCell="A14" workbookViewId="0">
      <selection activeCell="G8" sqref="G8"/>
    </sheetView>
  </sheetViews>
  <sheetFormatPr defaultRowHeight="15" x14ac:dyDescent="0.25"/>
  <cols>
    <col min="2" max="2" width="12.28515625" customWidth="1"/>
    <col min="3" max="6" width="17" customWidth="1"/>
    <col min="7" max="7" width="23.85546875" customWidth="1"/>
    <col min="8" max="8" width="17.42578125" customWidth="1"/>
    <col min="9" max="9" width="13.42578125" customWidth="1"/>
  </cols>
  <sheetData>
    <row r="3" spans="1:9" ht="16.5" x14ac:dyDescent="0.25">
      <c r="B3" s="170" t="s">
        <v>180</v>
      </c>
      <c r="C3" s="170"/>
      <c r="D3" s="170"/>
      <c r="E3" s="170"/>
      <c r="F3" s="170"/>
      <c r="G3" s="170"/>
    </row>
    <row r="5" spans="1:9" s="1" customForma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7" customHeight="1" x14ac:dyDescent="0.25">
      <c r="A7" s="1" t="s">
        <v>120</v>
      </c>
      <c r="B7" s="3">
        <v>1</v>
      </c>
      <c r="C7" s="4" t="s">
        <v>121</v>
      </c>
      <c r="D7" s="8" t="s">
        <v>10</v>
      </c>
      <c r="E7" s="13" t="s">
        <v>122</v>
      </c>
      <c r="F7" s="40" t="s">
        <v>112</v>
      </c>
      <c r="G7" s="41" t="s">
        <v>19</v>
      </c>
      <c r="H7" s="29" t="s">
        <v>14</v>
      </c>
      <c r="I7" s="29" t="s">
        <v>14</v>
      </c>
    </row>
    <row r="8" spans="1:9" s="1" customFormat="1" ht="27" customHeight="1" x14ac:dyDescent="0.25">
      <c r="A8" s="1" t="s">
        <v>120</v>
      </c>
      <c r="B8" s="5">
        <v>2</v>
      </c>
      <c r="C8" s="2">
        <v>1100</v>
      </c>
      <c r="D8" s="9" t="s">
        <v>10</v>
      </c>
      <c r="E8" s="14">
        <v>1140</v>
      </c>
      <c r="F8" s="41"/>
      <c r="G8" s="41" t="s">
        <v>19</v>
      </c>
      <c r="H8" s="33" t="s">
        <v>13</v>
      </c>
      <c r="I8" s="33" t="s">
        <v>13</v>
      </c>
    </row>
    <row r="9" spans="1:9" s="1" customFormat="1" ht="27" customHeight="1" x14ac:dyDescent="0.25">
      <c r="A9" s="1" t="s">
        <v>120</v>
      </c>
      <c r="B9" s="5">
        <v>3</v>
      </c>
      <c r="C9" s="2">
        <v>1001</v>
      </c>
      <c r="D9" s="9" t="s">
        <v>10</v>
      </c>
      <c r="E9" s="14">
        <v>1009</v>
      </c>
      <c r="F9" s="41"/>
      <c r="G9" s="41" t="s">
        <v>19</v>
      </c>
      <c r="H9" s="33" t="s">
        <v>14</v>
      </c>
      <c r="I9" s="33" t="s">
        <v>14</v>
      </c>
    </row>
    <row r="10" spans="1:9" s="1" customFormat="1" ht="27" customHeight="1" x14ac:dyDescent="0.25">
      <c r="A10" s="1" t="s">
        <v>120</v>
      </c>
      <c r="B10" s="5">
        <v>4</v>
      </c>
      <c r="C10" s="2">
        <v>1200</v>
      </c>
      <c r="D10" s="9" t="s">
        <v>10</v>
      </c>
      <c r="E10" s="14">
        <v>1226</v>
      </c>
      <c r="F10" s="41"/>
      <c r="G10" s="41" t="s">
        <v>19</v>
      </c>
      <c r="H10" s="33" t="s">
        <v>14</v>
      </c>
      <c r="I10" s="33" t="s">
        <v>14</v>
      </c>
    </row>
    <row r="11" spans="1:9" s="1" customFormat="1" ht="27" customHeight="1" x14ac:dyDescent="0.25">
      <c r="A11" s="1" t="s">
        <v>120</v>
      </c>
      <c r="B11" s="5">
        <v>5</v>
      </c>
      <c r="C11" s="2">
        <v>2001</v>
      </c>
      <c r="D11" s="9" t="s">
        <v>10</v>
      </c>
      <c r="E11" s="14">
        <v>2132</v>
      </c>
      <c r="F11" s="41"/>
      <c r="G11" s="41" t="s">
        <v>19</v>
      </c>
      <c r="H11" s="33" t="s">
        <v>14</v>
      </c>
      <c r="I11" s="33" t="s">
        <v>14</v>
      </c>
    </row>
    <row r="12" spans="1:9" s="1" customFormat="1" ht="27" customHeight="1" x14ac:dyDescent="0.25">
      <c r="A12" s="1" t="s">
        <v>120</v>
      </c>
      <c r="B12" s="5">
        <v>6</v>
      </c>
      <c r="C12" s="2">
        <v>2200</v>
      </c>
      <c r="D12" s="9" t="s">
        <v>10</v>
      </c>
      <c r="E12" s="14">
        <v>2227</v>
      </c>
      <c r="F12" s="41"/>
      <c r="G12" s="41" t="s">
        <v>19</v>
      </c>
      <c r="H12" s="33" t="s">
        <v>14</v>
      </c>
      <c r="I12" s="33" t="s">
        <v>14</v>
      </c>
    </row>
    <row r="13" spans="1:9" s="1" customFormat="1" ht="27" customHeight="1" x14ac:dyDescent="0.25">
      <c r="A13" s="1" t="s">
        <v>120</v>
      </c>
      <c r="B13" s="5">
        <v>7</v>
      </c>
      <c r="C13" s="2">
        <v>2301</v>
      </c>
      <c r="D13" s="9" t="s">
        <v>10</v>
      </c>
      <c r="E13" s="14">
        <v>2410</v>
      </c>
      <c r="F13" s="41"/>
      <c r="G13" s="41" t="s">
        <v>19</v>
      </c>
      <c r="H13" s="33" t="s">
        <v>14</v>
      </c>
      <c r="I13" s="33" t="s">
        <v>14</v>
      </c>
    </row>
    <row r="14" spans="1:9" s="1" customFormat="1" ht="27" customHeight="1" x14ac:dyDescent="0.25">
      <c r="A14" s="1" t="s">
        <v>120</v>
      </c>
      <c r="B14" s="5">
        <v>8</v>
      </c>
      <c r="C14" s="2">
        <v>2501</v>
      </c>
      <c r="D14" s="9" t="s">
        <v>10</v>
      </c>
      <c r="E14" s="14">
        <v>2604</v>
      </c>
      <c r="F14" s="41"/>
      <c r="G14" s="41" t="s">
        <v>19</v>
      </c>
      <c r="H14" s="33" t="s">
        <v>14</v>
      </c>
      <c r="I14" s="33" t="s">
        <v>14</v>
      </c>
    </row>
    <row r="15" spans="1:9" s="1" customFormat="1" ht="27" customHeight="1" x14ac:dyDescent="0.25">
      <c r="A15" s="1" t="s">
        <v>120</v>
      </c>
      <c r="B15" s="5">
        <v>9</v>
      </c>
      <c r="C15" s="2">
        <v>2700</v>
      </c>
      <c r="D15" s="9" t="s">
        <v>10</v>
      </c>
      <c r="E15" s="14">
        <v>2734</v>
      </c>
      <c r="F15" s="41"/>
      <c r="G15" s="41" t="s">
        <v>19</v>
      </c>
      <c r="H15" s="33" t="s">
        <v>14</v>
      </c>
      <c r="I15" s="33" t="s">
        <v>14</v>
      </c>
    </row>
    <row r="16" spans="1:9" s="1" customFormat="1" ht="27" customHeight="1" x14ac:dyDescent="0.25">
      <c r="A16" s="1" t="s">
        <v>120</v>
      </c>
      <c r="B16" s="5">
        <v>10</v>
      </c>
      <c r="C16" s="2">
        <v>2800</v>
      </c>
      <c r="D16" s="9" t="s">
        <v>10</v>
      </c>
      <c r="E16" s="14">
        <v>2814</v>
      </c>
      <c r="F16" s="41"/>
      <c r="G16" s="41" t="s">
        <v>19</v>
      </c>
      <c r="H16" s="33" t="s">
        <v>14</v>
      </c>
      <c r="I16" s="33" t="s">
        <v>14</v>
      </c>
    </row>
    <row r="17" spans="1:9" s="1" customFormat="1" ht="27" customHeight="1" x14ac:dyDescent="0.25">
      <c r="A17" s="1" t="s">
        <v>120</v>
      </c>
      <c r="B17" s="5">
        <v>11</v>
      </c>
      <c r="C17" s="2" t="s">
        <v>123</v>
      </c>
      <c r="D17" s="9" t="s">
        <v>10</v>
      </c>
      <c r="E17" s="14" t="s">
        <v>124</v>
      </c>
      <c r="F17" s="41"/>
      <c r="G17" s="41" t="s">
        <v>19</v>
      </c>
      <c r="H17" s="33" t="s">
        <v>14</v>
      </c>
      <c r="I17" s="33" t="s">
        <v>14</v>
      </c>
    </row>
    <row r="18" spans="1:9" s="1" customFormat="1" ht="27" customHeight="1" x14ac:dyDescent="0.25">
      <c r="A18" s="1" t="s">
        <v>120</v>
      </c>
      <c r="B18" s="5">
        <v>12</v>
      </c>
      <c r="C18" s="2" t="s">
        <v>125</v>
      </c>
      <c r="D18" s="9" t="s">
        <v>10</v>
      </c>
      <c r="E18" s="14" t="s">
        <v>126</v>
      </c>
      <c r="F18" s="41"/>
      <c r="G18" s="41" t="s">
        <v>127</v>
      </c>
      <c r="H18" s="33" t="s">
        <v>13</v>
      </c>
      <c r="I18" s="33" t="s">
        <v>14</v>
      </c>
    </row>
    <row r="19" spans="1:9" s="1" customFormat="1" ht="27" customHeight="1" x14ac:dyDescent="0.25">
      <c r="A19" s="1" t="s">
        <v>120</v>
      </c>
      <c r="B19" s="5">
        <v>13</v>
      </c>
      <c r="C19" s="2" t="s">
        <v>128</v>
      </c>
      <c r="D19" s="9" t="s">
        <v>10</v>
      </c>
      <c r="E19" s="14" t="s">
        <v>129</v>
      </c>
      <c r="F19" s="41"/>
      <c r="G19" s="41" t="s">
        <v>130</v>
      </c>
      <c r="H19" s="33" t="s">
        <v>13</v>
      </c>
      <c r="I19" s="33" t="s">
        <v>14</v>
      </c>
    </row>
    <row r="20" spans="1:9" s="1" customFormat="1" ht="27" customHeight="1" x14ac:dyDescent="0.25">
      <c r="A20" s="1" t="s">
        <v>120</v>
      </c>
      <c r="B20" s="5">
        <v>14</v>
      </c>
      <c r="C20" s="2">
        <v>3000</v>
      </c>
      <c r="D20" s="9" t="s">
        <v>10</v>
      </c>
      <c r="E20" s="14">
        <v>3048</v>
      </c>
      <c r="F20" s="41"/>
      <c r="G20" s="41" t="s">
        <v>19</v>
      </c>
      <c r="H20" s="33" t="s">
        <v>13</v>
      </c>
      <c r="I20" s="33" t="s">
        <v>14</v>
      </c>
    </row>
    <row r="21" spans="1:9" s="1" customFormat="1" ht="27" customHeight="1" x14ac:dyDescent="0.25">
      <c r="A21" s="1" t="s">
        <v>120</v>
      </c>
      <c r="B21" s="5">
        <v>15</v>
      </c>
      <c r="C21" s="2">
        <v>3100</v>
      </c>
      <c r="D21" s="9" t="s">
        <v>10</v>
      </c>
      <c r="E21" s="14">
        <v>3156</v>
      </c>
      <c r="F21" s="41"/>
      <c r="G21" s="41" t="s">
        <v>19</v>
      </c>
      <c r="H21" s="33" t="s">
        <v>14</v>
      </c>
      <c r="I21" s="33" t="s">
        <v>14</v>
      </c>
    </row>
    <row r="22" spans="1:9" s="1" customFormat="1" ht="27" customHeight="1" x14ac:dyDescent="0.25">
      <c r="A22" s="1" t="s">
        <v>120</v>
      </c>
      <c r="B22" s="5">
        <v>16</v>
      </c>
      <c r="C22" s="2">
        <v>3500</v>
      </c>
      <c r="D22" s="9" t="s">
        <v>10</v>
      </c>
      <c r="E22" s="14">
        <v>3597</v>
      </c>
      <c r="F22" s="41"/>
      <c r="G22" s="41" t="s">
        <v>19</v>
      </c>
      <c r="H22" s="33" t="s">
        <v>14</v>
      </c>
      <c r="I22" s="33" t="s">
        <v>14</v>
      </c>
    </row>
    <row r="23" spans="1:9" ht="27" customHeight="1" x14ac:dyDescent="0.25">
      <c r="A23" s="1" t="s">
        <v>120</v>
      </c>
      <c r="B23" s="42">
        <v>17</v>
      </c>
      <c r="C23" s="43">
        <v>3600</v>
      </c>
      <c r="D23" s="44" t="s">
        <v>10</v>
      </c>
      <c r="E23" s="45">
        <v>3600</v>
      </c>
      <c r="F23" s="46"/>
      <c r="G23" s="46" t="s">
        <v>19</v>
      </c>
      <c r="H23" s="33" t="s">
        <v>14</v>
      </c>
      <c r="I23" s="33" t="s">
        <v>14</v>
      </c>
    </row>
    <row r="24" spans="1:9" ht="27" customHeight="1" x14ac:dyDescent="0.25">
      <c r="A24" s="1" t="s">
        <v>120</v>
      </c>
      <c r="B24" s="42">
        <v>18</v>
      </c>
      <c r="C24" s="43" t="s">
        <v>50</v>
      </c>
      <c r="D24" s="44" t="s">
        <v>10</v>
      </c>
      <c r="E24" s="45" t="s">
        <v>131</v>
      </c>
      <c r="F24" s="46"/>
      <c r="G24" s="46" t="s">
        <v>127</v>
      </c>
      <c r="H24" s="33" t="s">
        <v>14</v>
      </c>
      <c r="I24" s="33" t="s">
        <v>14</v>
      </c>
    </row>
    <row r="25" spans="1:9" ht="27" customHeight="1" x14ac:dyDescent="0.25">
      <c r="A25" s="1" t="s">
        <v>120</v>
      </c>
      <c r="B25" s="42">
        <v>19</v>
      </c>
      <c r="C25" s="43" t="s">
        <v>87</v>
      </c>
      <c r="D25" s="44" t="s">
        <v>10</v>
      </c>
      <c r="E25" s="45" t="s">
        <v>132</v>
      </c>
      <c r="F25" s="46"/>
      <c r="G25" s="46" t="s">
        <v>127</v>
      </c>
      <c r="H25" s="33" t="s">
        <v>14</v>
      </c>
      <c r="I25" s="33" t="s">
        <v>14</v>
      </c>
    </row>
    <row r="26" spans="1:9" ht="27" customHeight="1" x14ac:dyDescent="0.25">
      <c r="A26" s="1" t="s">
        <v>120</v>
      </c>
      <c r="B26" s="42">
        <v>20</v>
      </c>
      <c r="C26" s="43" t="s">
        <v>133</v>
      </c>
      <c r="D26" s="44" t="s">
        <v>10</v>
      </c>
      <c r="E26" s="45" t="s">
        <v>134</v>
      </c>
      <c r="F26" s="46"/>
      <c r="G26" s="46" t="s">
        <v>135</v>
      </c>
      <c r="H26" s="33" t="s">
        <v>14</v>
      </c>
      <c r="I26" s="33" t="s">
        <v>14</v>
      </c>
    </row>
    <row r="27" spans="1:9" ht="27" customHeight="1" x14ac:dyDescent="0.25">
      <c r="A27" s="1" t="s">
        <v>120</v>
      </c>
      <c r="B27" s="47">
        <v>21</v>
      </c>
      <c r="C27" s="48">
        <v>4001</v>
      </c>
      <c r="D27" s="49" t="s">
        <v>10</v>
      </c>
      <c r="E27" s="50">
        <v>4187</v>
      </c>
      <c r="F27" s="51"/>
      <c r="G27" s="51" t="s">
        <v>19</v>
      </c>
      <c r="H27" s="38" t="s">
        <v>14</v>
      </c>
      <c r="I27" s="38" t="s">
        <v>14</v>
      </c>
    </row>
    <row r="28" spans="1:9" ht="27" customHeight="1" x14ac:dyDescent="0.25"/>
    <row r="29" spans="1:9" ht="27" customHeight="1" x14ac:dyDescent="0.25"/>
    <row r="30" spans="1:9" ht="27" customHeight="1" x14ac:dyDescent="0.25"/>
    <row r="31" spans="1:9" ht="27" customHeight="1" x14ac:dyDescent="0.25"/>
    <row r="32" spans="1:9" ht="27" customHeight="1" x14ac:dyDescent="0.25"/>
    <row r="33" ht="27" customHeight="1" x14ac:dyDescent="0.25"/>
    <row r="34" ht="27" customHeight="1" x14ac:dyDescent="0.25"/>
    <row r="35" ht="27" customHeight="1" x14ac:dyDescent="0.25"/>
    <row r="36" ht="27" customHeight="1" x14ac:dyDescent="0.25"/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E0C5B-E9F0-44E3-AD55-E3960BC2570F}">
  <dimension ref="A3:I20"/>
  <sheetViews>
    <sheetView workbookViewId="0">
      <selection activeCell="A17" sqref="A17:I17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style="23" customWidth="1"/>
    <col min="9" max="9" width="13.42578125" style="23" customWidth="1"/>
  </cols>
  <sheetData>
    <row r="3" spans="1:9" ht="16.5" x14ac:dyDescent="0.25">
      <c r="B3" s="170" t="s">
        <v>181</v>
      </c>
      <c r="C3" s="170"/>
      <c r="D3" s="170"/>
      <c r="E3" s="170"/>
      <c r="F3" s="170"/>
      <c r="G3" s="170"/>
    </row>
    <row r="5" spans="1:9" s="1" customFormat="1" ht="27" customHeigh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6.25" customHeigh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7" customHeight="1" x14ac:dyDescent="0.25">
      <c r="A7" s="1" t="s">
        <v>136</v>
      </c>
      <c r="B7" s="3">
        <v>1</v>
      </c>
      <c r="C7" s="4" t="s">
        <v>137</v>
      </c>
      <c r="D7" s="4" t="s">
        <v>10</v>
      </c>
      <c r="E7" s="8" t="s">
        <v>138</v>
      </c>
      <c r="F7" s="40" t="s">
        <v>31</v>
      </c>
      <c r="G7" s="13" t="s">
        <v>32</v>
      </c>
      <c r="H7" s="29" t="s">
        <v>14</v>
      </c>
      <c r="I7" s="29" t="s">
        <v>14</v>
      </c>
    </row>
    <row r="8" spans="1:9" s="1" customFormat="1" ht="27" customHeight="1" x14ac:dyDescent="0.25">
      <c r="A8" s="1" t="s">
        <v>136</v>
      </c>
      <c r="B8" s="5">
        <v>2</v>
      </c>
      <c r="C8" s="2" t="s">
        <v>139</v>
      </c>
      <c r="D8" s="2" t="s">
        <v>10</v>
      </c>
      <c r="E8" s="9" t="s">
        <v>140</v>
      </c>
      <c r="F8" s="40" t="s">
        <v>31</v>
      </c>
      <c r="G8" s="13" t="s">
        <v>32</v>
      </c>
      <c r="H8" s="33" t="s">
        <v>14</v>
      </c>
      <c r="I8" s="33" t="s">
        <v>14</v>
      </c>
    </row>
    <row r="9" spans="1:9" s="1" customFormat="1" ht="27" customHeight="1" x14ac:dyDescent="0.25">
      <c r="A9" s="1" t="s">
        <v>136</v>
      </c>
      <c r="B9" s="5">
        <v>3</v>
      </c>
      <c r="C9" s="2" t="s">
        <v>141</v>
      </c>
      <c r="D9" s="2" t="s">
        <v>10</v>
      </c>
      <c r="E9" s="9" t="s">
        <v>142</v>
      </c>
      <c r="F9" s="41"/>
      <c r="G9" s="14" t="s">
        <v>127</v>
      </c>
      <c r="H9" s="33" t="s">
        <v>13</v>
      </c>
      <c r="I9" s="33" t="s">
        <v>14</v>
      </c>
    </row>
    <row r="10" spans="1:9" s="1" customFormat="1" ht="27" customHeight="1" x14ac:dyDescent="0.25">
      <c r="A10" s="1" t="s">
        <v>136</v>
      </c>
      <c r="B10" s="5">
        <v>4</v>
      </c>
      <c r="C10" s="2" t="s">
        <v>69</v>
      </c>
      <c r="D10" s="2" t="s">
        <v>182</v>
      </c>
      <c r="E10" s="9" t="s">
        <v>143</v>
      </c>
      <c r="F10" s="41"/>
      <c r="G10" s="14" t="s">
        <v>127</v>
      </c>
      <c r="H10" s="33" t="s">
        <v>14</v>
      </c>
      <c r="I10" s="33" t="s">
        <v>14</v>
      </c>
    </row>
    <row r="11" spans="1:9" s="1" customFormat="1" ht="27" customHeight="1" x14ac:dyDescent="0.25">
      <c r="A11" s="1" t="s">
        <v>136</v>
      </c>
      <c r="B11" s="5">
        <v>5</v>
      </c>
      <c r="C11" s="2" t="s">
        <v>144</v>
      </c>
      <c r="D11" s="2" t="s">
        <v>10</v>
      </c>
      <c r="E11" s="9" t="s">
        <v>145</v>
      </c>
      <c r="F11" s="41"/>
      <c r="G11" s="14" t="s">
        <v>127</v>
      </c>
      <c r="H11" s="33" t="s">
        <v>13</v>
      </c>
      <c r="I11" s="33" t="s">
        <v>14</v>
      </c>
    </row>
    <row r="12" spans="1:9" s="1" customFormat="1" ht="27" customHeight="1" x14ac:dyDescent="0.25">
      <c r="A12" s="1" t="s">
        <v>136</v>
      </c>
      <c r="B12" s="5">
        <v>6</v>
      </c>
      <c r="C12" s="2" t="s">
        <v>146</v>
      </c>
      <c r="D12" s="2" t="s">
        <v>182</v>
      </c>
      <c r="E12" s="9" t="s">
        <v>147</v>
      </c>
      <c r="F12" s="41"/>
      <c r="G12" s="14" t="s">
        <v>127</v>
      </c>
      <c r="H12" s="33" t="s">
        <v>14</v>
      </c>
      <c r="I12" s="58" t="s">
        <v>14</v>
      </c>
    </row>
    <row r="13" spans="1:9" s="1" customFormat="1" ht="27" customHeight="1" x14ac:dyDescent="0.25">
      <c r="A13" s="182" t="s">
        <v>136</v>
      </c>
      <c r="B13" s="183">
        <v>7</v>
      </c>
      <c r="C13" s="184">
        <v>2200</v>
      </c>
      <c r="D13" s="184" t="s">
        <v>10</v>
      </c>
      <c r="E13" s="185">
        <v>2295</v>
      </c>
      <c r="F13" s="186"/>
      <c r="G13" s="187" t="s">
        <v>127</v>
      </c>
      <c r="H13" s="188" t="s">
        <v>13</v>
      </c>
      <c r="I13" s="188" t="s">
        <v>14</v>
      </c>
    </row>
    <row r="14" spans="1:9" s="1" customFormat="1" ht="27" customHeight="1" x14ac:dyDescent="0.25">
      <c r="A14" s="1" t="s">
        <v>136</v>
      </c>
      <c r="B14" s="5">
        <v>8</v>
      </c>
      <c r="C14" s="2" t="s">
        <v>148</v>
      </c>
      <c r="D14" s="2" t="s">
        <v>182</v>
      </c>
      <c r="E14" s="9" t="s">
        <v>149</v>
      </c>
      <c r="F14" s="41"/>
      <c r="G14" s="14" t="s">
        <v>127</v>
      </c>
      <c r="H14" s="33" t="s">
        <v>13</v>
      </c>
      <c r="I14" s="33" t="s">
        <v>14</v>
      </c>
    </row>
    <row r="15" spans="1:9" s="1" customFormat="1" ht="27" customHeight="1" x14ac:dyDescent="0.25">
      <c r="A15" s="1" t="s">
        <v>136</v>
      </c>
      <c r="B15" s="5">
        <v>9</v>
      </c>
      <c r="C15" s="2">
        <v>1200</v>
      </c>
      <c r="D15" s="2" t="s">
        <v>10</v>
      </c>
      <c r="E15" s="9">
        <v>1215</v>
      </c>
      <c r="F15" s="41"/>
      <c r="G15" s="14" t="s">
        <v>150</v>
      </c>
      <c r="H15" s="33" t="s">
        <v>14</v>
      </c>
      <c r="I15" s="33" t="s">
        <v>14</v>
      </c>
    </row>
    <row r="16" spans="1:9" s="1" customFormat="1" ht="27" customHeight="1" x14ac:dyDescent="0.25">
      <c r="A16" s="1" t="s">
        <v>136</v>
      </c>
      <c r="B16" s="5">
        <v>10</v>
      </c>
      <c r="C16" s="2" t="s">
        <v>151</v>
      </c>
      <c r="D16" s="2" t="s">
        <v>182</v>
      </c>
      <c r="E16" s="9" t="s">
        <v>152</v>
      </c>
      <c r="F16" s="41"/>
      <c r="G16" s="14" t="s">
        <v>150</v>
      </c>
      <c r="H16" s="33" t="s">
        <v>14</v>
      </c>
      <c r="I16" s="58" t="s">
        <v>14</v>
      </c>
    </row>
    <row r="17" spans="1:9" s="1" customFormat="1" ht="27" customHeight="1" x14ac:dyDescent="0.25">
      <c r="A17" s="182" t="s">
        <v>136</v>
      </c>
      <c r="B17" s="183">
        <v>11</v>
      </c>
      <c r="C17" s="184">
        <v>2000</v>
      </c>
      <c r="D17" s="184" t="s">
        <v>182</v>
      </c>
      <c r="E17" s="185">
        <v>2303</v>
      </c>
      <c r="F17" s="186"/>
      <c r="G17" s="187" t="s">
        <v>150</v>
      </c>
      <c r="H17" s="188" t="s">
        <v>14</v>
      </c>
      <c r="I17" s="189" t="s">
        <v>14</v>
      </c>
    </row>
    <row r="18" spans="1:9" s="1" customFormat="1" ht="27" customHeight="1" x14ac:dyDescent="0.25">
      <c r="A18" s="1" t="s">
        <v>136</v>
      </c>
      <c r="B18" s="5">
        <v>12</v>
      </c>
      <c r="C18" s="2">
        <v>3000</v>
      </c>
      <c r="D18" s="2" t="s">
        <v>10</v>
      </c>
      <c r="E18" s="9">
        <v>3404</v>
      </c>
      <c r="F18" s="41"/>
      <c r="G18" s="14" t="s">
        <v>150</v>
      </c>
      <c r="H18" s="33" t="s">
        <v>183</v>
      </c>
      <c r="I18" s="34" t="s">
        <v>14</v>
      </c>
    </row>
    <row r="19" spans="1:9" s="1" customFormat="1" ht="27" customHeight="1" x14ac:dyDescent="0.25">
      <c r="A19" s="1" t="s">
        <v>136</v>
      </c>
      <c r="B19" s="5">
        <v>13</v>
      </c>
      <c r="C19" s="2">
        <v>4000</v>
      </c>
      <c r="D19" s="2" t="s">
        <v>182</v>
      </c>
      <c r="E19" s="9">
        <v>4400</v>
      </c>
      <c r="F19" s="41"/>
      <c r="G19" s="14" t="s">
        <v>150</v>
      </c>
      <c r="H19" s="33" t="s">
        <v>14</v>
      </c>
      <c r="I19" s="34" t="s">
        <v>14</v>
      </c>
    </row>
    <row r="20" spans="1:9" s="1" customFormat="1" ht="27" customHeight="1" x14ac:dyDescent="0.25">
      <c r="A20" s="1" t="s">
        <v>136</v>
      </c>
      <c r="B20" s="6">
        <v>14</v>
      </c>
      <c r="C20" s="7" t="s">
        <v>153</v>
      </c>
      <c r="D20" s="7" t="s">
        <v>182</v>
      </c>
      <c r="E20" s="10" t="s">
        <v>154</v>
      </c>
      <c r="F20" s="59"/>
      <c r="G20" s="15" t="s">
        <v>150</v>
      </c>
      <c r="H20" s="38" t="s">
        <v>183</v>
      </c>
      <c r="I20" s="39" t="s">
        <v>14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89EB-170D-4CCF-B0F7-4B0E614164DC}">
  <dimension ref="A3:I10"/>
  <sheetViews>
    <sheetView workbookViewId="0">
      <selection activeCell="A7" sqref="A7:A10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184</v>
      </c>
      <c r="C3" s="170"/>
      <c r="D3" s="170"/>
      <c r="E3" s="170"/>
      <c r="F3" s="170"/>
      <c r="G3" s="170"/>
    </row>
    <row r="5" spans="1:9" s="1" customForma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7" customHeight="1" x14ac:dyDescent="0.25">
      <c r="A7" s="1" t="s">
        <v>155</v>
      </c>
      <c r="B7" s="3">
        <v>1</v>
      </c>
      <c r="C7" s="4" t="s">
        <v>125</v>
      </c>
      <c r="D7" s="4" t="s">
        <v>10</v>
      </c>
      <c r="E7" s="8" t="s">
        <v>156</v>
      </c>
      <c r="F7" s="40"/>
      <c r="G7" s="13" t="s">
        <v>12</v>
      </c>
      <c r="H7" s="29" t="s">
        <v>74</v>
      </c>
      <c r="I7" s="30" t="s">
        <v>75</v>
      </c>
    </row>
    <row r="8" spans="1:9" s="1" customFormat="1" ht="27" customHeight="1" x14ac:dyDescent="0.25">
      <c r="A8" s="1" t="s">
        <v>155</v>
      </c>
      <c r="B8" s="5">
        <v>2</v>
      </c>
      <c r="C8" s="2" t="s">
        <v>22</v>
      </c>
      <c r="D8" s="2" t="s">
        <v>10</v>
      </c>
      <c r="E8" s="9" t="s">
        <v>157</v>
      </c>
      <c r="F8" s="41"/>
      <c r="G8" s="14" t="s">
        <v>12</v>
      </c>
      <c r="H8" s="33" t="s">
        <v>74</v>
      </c>
      <c r="I8" s="34" t="s">
        <v>75</v>
      </c>
    </row>
    <row r="9" spans="1:9" s="1" customFormat="1" ht="27" customHeight="1" x14ac:dyDescent="0.25">
      <c r="A9" s="1" t="s">
        <v>155</v>
      </c>
      <c r="B9" s="5">
        <v>3</v>
      </c>
      <c r="C9" s="2">
        <v>5001</v>
      </c>
      <c r="D9" s="2" t="s">
        <v>10</v>
      </c>
      <c r="E9" s="9">
        <v>5062</v>
      </c>
      <c r="F9" s="41"/>
      <c r="G9" s="14" t="s">
        <v>19</v>
      </c>
      <c r="H9" s="33" t="s">
        <v>74</v>
      </c>
      <c r="I9" s="34" t="s">
        <v>74</v>
      </c>
    </row>
    <row r="10" spans="1:9" s="1" customFormat="1" ht="27" customHeight="1" x14ac:dyDescent="0.25">
      <c r="A10" s="1" t="s">
        <v>155</v>
      </c>
      <c r="B10" s="6">
        <v>4</v>
      </c>
      <c r="C10" s="7" t="s">
        <v>158</v>
      </c>
      <c r="D10" s="7" t="s">
        <v>10</v>
      </c>
      <c r="E10" s="10" t="s">
        <v>159</v>
      </c>
      <c r="F10" s="59"/>
      <c r="G10" s="15" t="s">
        <v>12</v>
      </c>
      <c r="H10" s="38" t="s">
        <v>74</v>
      </c>
      <c r="I10" s="39" t="s">
        <v>75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CF64A-97D8-430F-A15A-F4F8BC51C8B8}">
  <dimension ref="A3:I15"/>
  <sheetViews>
    <sheetView workbookViewId="0">
      <selection activeCell="A5" sqref="A5:I6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185</v>
      </c>
      <c r="C3" s="170"/>
      <c r="D3" s="170"/>
      <c r="E3" s="170"/>
      <c r="F3" s="170"/>
      <c r="G3" s="170"/>
    </row>
    <row r="5" spans="1:9" s="1" customFormat="1" ht="23.25" customHeight="1" x14ac:dyDescent="0.25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160</v>
      </c>
      <c r="B7" s="3">
        <v>1</v>
      </c>
      <c r="C7" s="4" t="s">
        <v>141</v>
      </c>
      <c r="D7" s="4" t="s">
        <v>10</v>
      </c>
      <c r="E7" s="8" t="s">
        <v>161</v>
      </c>
      <c r="F7" s="40"/>
      <c r="G7" s="13" t="s">
        <v>12</v>
      </c>
      <c r="H7" s="29" t="s">
        <v>13</v>
      </c>
      <c r="I7" s="30" t="s">
        <v>14</v>
      </c>
    </row>
    <row r="8" spans="1:9" s="1" customFormat="1" ht="24" customHeight="1" x14ac:dyDescent="0.25">
      <c r="A8" s="1" t="s">
        <v>160</v>
      </c>
      <c r="B8" s="5">
        <v>2</v>
      </c>
      <c r="C8" s="2">
        <v>1000</v>
      </c>
      <c r="D8" s="2" t="s">
        <v>10</v>
      </c>
      <c r="E8" s="9">
        <v>1018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4" customHeight="1" x14ac:dyDescent="0.25">
      <c r="A9" s="1" t="s">
        <v>160</v>
      </c>
      <c r="B9" s="5">
        <v>3</v>
      </c>
      <c r="C9" s="2" t="s">
        <v>162</v>
      </c>
      <c r="D9" s="2" t="s">
        <v>10</v>
      </c>
      <c r="E9" s="9" t="s">
        <v>163</v>
      </c>
      <c r="F9" s="40" t="s">
        <v>31</v>
      </c>
      <c r="G9" s="13" t="s">
        <v>32</v>
      </c>
      <c r="H9" s="33" t="s">
        <v>14</v>
      </c>
      <c r="I9" s="34" t="s">
        <v>14</v>
      </c>
    </row>
    <row r="10" spans="1:9" s="1" customFormat="1" ht="24" customHeight="1" x14ac:dyDescent="0.25">
      <c r="A10" s="1" t="s">
        <v>160</v>
      </c>
      <c r="B10" s="5">
        <v>4</v>
      </c>
      <c r="C10" s="2">
        <v>2000</v>
      </c>
      <c r="D10" s="2" t="s">
        <v>10</v>
      </c>
      <c r="E10" s="9">
        <v>2168</v>
      </c>
      <c r="F10" s="41"/>
      <c r="G10" s="14" t="s">
        <v>164</v>
      </c>
      <c r="H10" s="33" t="s">
        <v>14</v>
      </c>
      <c r="I10" s="34" t="s">
        <v>14</v>
      </c>
    </row>
    <row r="11" spans="1:9" s="1" customFormat="1" ht="24" customHeight="1" x14ac:dyDescent="0.25">
      <c r="A11" s="1" t="s">
        <v>160</v>
      </c>
      <c r="B11" s="5">
        <v>5</v>
      </c>
      <c r="C11" s="2">
        <v>3000</v>
      </c>
      <c r="D11" s="2" t="s">
        <v>10</v>
      </c>
      <c r="E11" s="9">
        <v>3147</v>
      </c>
      <c r="F11" s="41"/>
      <c r="G11" s="14" t="s">
        <v>19</v>
      </c>
      <c r="H11" s="33" t="s">
        <v>14</v>
      </c>
      <c r="I11" s="34" t="s">
        <v>13</v>
      </c>
    </row>
    <row r="12" spans="1:9" s="1" customFormat="1" ht="24" customHeight="1" x14ac:dyDescent="0.25">
      <c r="A12" s="1" t="s">
        <v>160</v>
      </c>
      <c r="B12" s="5">
        <v>6</v>
      </c>
      <c r="C12" s="2">
        <v>4001</v>
      </c>
      <c r="D12" s="2" t="s">
        <v>10</v>
      </c>
      <c r="E12" s="9">
        <v>4218</v>
      </c>
      <c r="F12" s="41"/>
      <c r="G12" s="14" t="s">
        <v>19</v>
      </c>
      <c r="H12" s="33" t="s">
        <v>14</v>
      </c>
      <c r="I12" s="34" t="s">
        <v>14</v>
      </c>
    </row>
    <row r="13" spans="1:9" s="1" customFormat="1" ht="24" customHeight="1" x14ac:dyDescent="0.25">
      <c r="A13" s="1" t="s">
        <v>160</v>
      </c>
      <c r="B13" s="5">
        <v>7</v>
      </c>
      <c r="C13" s="2" t="s">
        <v>148</v>
      </c>
      <c r="D13" s="2" t="s">
        <v>10</v>
      </c>
      <c r="E13" s="9" t="s">
        <v>165</v>
      </c>
      <c r="F13" s="41"/>
      <c r="G13" s="14" t="s">
        <v>12</v>
      </c>
      <c r="H13" s="33" t="s">
        <v>14</v>
      </c>
      <c r="I13" s="34" t="s">
        <v>14</v>
      </c>
    </row>
    <row r="14" spans="1:9" s="1" customFormat="1" ht="24" customHeight="1" x14ac:dyDescent="0.25">
      <c r="A14" s="1" t="s">
        <v>160</v>
      </c>
      <c r="B14" s="5">
        <v>8</v>
      </c>
      <c r="C14" s="2">
        <v>5045</v>
      </c>
      <c r="D14" s="2" t="s">
        <v>10</v>
      </c>
      <c r="E14" s="9">
        <v>5216</v>
      </c>
      <c r="F14" s="41"/>
      <c r="G14" s="14" t="s">
        <v>19</v>
      </c>
      <c r="H14" s="33" t="s">
        <v>14</v>
      </c>
      <c r="I14" s="34" t="s">
        <v>14</v>
      </c>
    </row>
    <row r="15" spans="1:9" s="1" customFormat="1" ht="24" customHeight="1" x14ac:dyDescent="0.25">
      <c r="A15" s="1" t="s">
        <v>160</v>
      </c>
      <c r="B15" s="6">
        <v>9</v>
      </c>
      <c r="C15" s="7">
        <v>6001</v>
      </c>
      <c r="D15" s="7" t="s">
        <v>10</v>
      </c>
      <c r="E15" s="10">
        <v>6166</v>
      </c>
      <c r="F15" s="59"/>
      <c r="G15" s="15" t="s">
        <v>164</v>
      </c>
      <c r="H15" s="38" t="s">
        <v>14</v>
      </c>
      <c r="I15" s="39" t="s">
        <v>14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EFC03-EB0E-4C26-A6BF-E1D16A21901C}">
  <dimension ref="A3:I14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201</v>
      </c>
      <c r="C3" s="170"/>
      <c r="D3" s="170"/>
      <c r="E3" s="170"/>
      <c r="F3" s="170"/>
      <c r="G3" s="170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214</v>
      </c>
      <c r="B7" s="89">
        <v>1</v>
      </c>
      <c r="C7" s="4" t="s">
        <v>200</v>
      </c>
      <c r="D7" s="4" t="s">
        <v>10</v>
      </c>
      <c r="E7" s="8" t="s">
        <v>199</v>
      </c>
      <c r="F7" s="125"/>
      <c r="G7" s="88" t="s">
        <v>187</v>
      </c>
      <c r="H7" s="30" t="s">
        <v>14</v>
      </c>
      <c r="I7" s="87" t="s">
        <v>14</v>
      </c>
    </row>
    <row r="8" spans="1:9" s="1" customFormat="1" ht="24" customHeight="1" x14ac:dyDescent="0.25">
      <c r="A8" s="1" t="s">
        <v>214</v>
      </c>
      <c r="B8" s="86">
        <v>2</v>
      </c>
      <c r="C8" s="2" t="s">
        <v>198</v>
      </c>
      <c r="D8" s="2" t="s">
        <v>10</v>
      </c>
      <c r="E8" s="9" t="s">
        <v>197</v>
      </c>
      <c r="F8" s="125"/>
      <c r="G8" s="85" t="s">
        <v>187</v>
      </c>
      <c r="H8" s="34" t="s">
        <v>14</v>
      </c>
      <c r="I8" s="84" t="s">
        <v>14</v>
      </c>
    </row>
    <row r="9" spans="1:9" s="1" customFormat="1" ht="24" customHeight="1" x14ac:dyDescent="0.25">
      <c r="A9" s="1" t="s">
        <v>214</v>
      </c>
      <c r="B9" s="86">
        <v>3</v>
      </c>
      <c r="C9" s="2" t="s">
        <v>196</v>
      </c>
      <c r="D9" s="2" t="s">
        <v>10</v>
      </c>
      <c r="E9" s="9" t="s">
        <v>195</v>
      </c>
      <c r="F9" s="125"/>
      <c r="G9" s="85" t="s">
        <v>187</v>
      </c>
      <c r="H9" s="34" t="s">
        <v>14</v>
      </c>
      <c r="I9" s="84" t="s">
        <v>14</v>
      </c>
    </row>
    <row r="10" spans="1:9" s="1" customFormat="1" ht="24" customHeight="1" x14ac:dyDescent="0.25">
      <c r="A10" s="1" t="s">
        <v>214</v>
      </c>
      <c r="B10" s="86">
        <v>4</v>
      </c>
      <c r="C10" s="2" t="s">
        <v>194</v>
      </c>
      <c r="D10" s="2" t="s">
        <v>10</v>
      </c>
      <c r="E10" s="9" t="s">
        <v>193</v>
      </c>
      <c r="F10" s="125"/>
      <c r="G10" s="85" t="s">
        <v>187</v>
      </c>
      <c r="H10" s="34" t="s">
        <v>14</v>
      </c>
      <c r="I10" s="84" t="s">
        <v>14</v>
      </c>
    </row>
    <row r="11" spans="1:9" s="1" customFormat="1" ht="48.75" customHeight="1" x14ac:dyDescent="0.25">
      <c r="A11" s="1" t="s">
        <v>214</v>
      </c>
      <c r="B11" s="86">
        <v>5</v>
      </c>
      <c r="C11" s="2" t="s">
        <v>192</v>
      </c>
      <c r="D11" s="2" t="s">
        <v>10</v>
      </c>
      <c r="E11" s="9" t="s">
        <v>191</v>
      </c>
      <c r="F11" s="125"/>
      <c r="G11" s="85" t="s">
        <v>187</v>
      </c>
      <c r="H11" s="35" t="s">
        <v>190</v>
      </c>
      <c r="I11" s="84" t="s">
        <v>14</v>
      </c>
    </row>
    <row r="12" spans="1:9" s="1" customFormat="1" ht="24" customHeight="1" thickBot="1" x14ac:dyDescent="0.3">
      <c r="A12" s="1" t="s">
        <v>214</v>
      </c>
      <c r="B12" s="83">
        <v>6</v>
      </c>
      <c r="C12" s="82" t="s">
        <v>189</v>
      </c>
      <c r="D12" s="82" t="s">
        <v>10</v>
      </c>
      <c r="E12" s="81" t="s">
        <v>188</v>
      </c>
      <c r="F12" s="126"/>
      <c r="G12" s="80" t="s">
        <v>187</v>
      </c>
      <c r="H12" s="79" t="s">
        <v>14</v>
      </c>
      <c r="I12" s="78" t="s">
        <v>14</v>
      </c>
    </row>
    <row r="14" spans="1:9" x14ac:dyDescent="0.25">
      <c r="B14" t="s">
        <v>186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289F9D-7216-4A7C-A618-D0B1DBE7DC5B}">
  <dimension ref="A3:I13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81" t="s">
        <v>207</v>
      </c>
      <c r="C3" s="181"/>
      <c r="D3" s="181"/>
      <c r="E3" s="181"/>
      <c r="F3" s="181"/>
      <c r="G3" s="181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45" x14ac:dyDescent="0.25">
      <c r="A7" s="1" t="s">
        <v>215</v>
      </c>
      <c r="B7" s="105">
        <v>1</v>
      </c>
      <c r="C7" s="104" t="s">
        <v>206</v>
      </c>
      <c r="D7" s="104" t="s">
        <v>10</v>
      </c>
      <c r="E7" s="104" t="s">
        <v>205</v>
      </c>
      <c r="F7" s="104"/>
      <c r="G7" s="103" t="s">
        <v>187</v>
      </c>
      <c r="H7" s="102" t="s">
        <v>190</v>
      </c>
      <c r="I7" s="101" t="s">
        <v>14</v>
      </c>
    </row>
    <row r="8" spans="1:9" s="1" customFormat="1" ht="45.75" customHeight="1" x14ac:dyDescent="0.25">
      <c r="A8" s="1" t="s">
        <v>215</v>
      </c>
      <c r="B8" s="99">
        <v>2</v>
      </c>
      <c r="C8" s="98" t="s">
        <v>204</v>
      </c>
      <c r="D8" s="98" t="s">
        <v>10</v>
      </c>
      <c r="E8" s="98" t="s">
        <v>203</v>
      </c>
      <c r="F8" s="98"/>
      <c r="G8" s="97" t="s">
        <v>187</v>
      </c>
      <c r="H8" s="100" t="s">
        <v>190</v>
      </c>
      <c r="I8" s="95" t="s">
        <v>14</v>
      </c>
    </row>
    <row r="9" spans="1:9" s="1" customFormat="1" ht="24" customHeight="1" x14ac:dyDescent="0.25">
      <c r="A9" s="1" t="s">
        <v>215</v>
      </c>
      <c r="B9" s="99">
        <v>3</v>
      </c>
      <c r="C9" s="98">
        <v>3001</v>
      </c>
      <c r="D9" s="98" t="s">
        <v>10</v>
      </c>
      <c r="E9" s="98">
        <v>3169</v>
      </c>
      <c r="F9" s="98"/>
      <c r="G9" s="97" t="s">
        <v>187</v>
      </c>
      <c r="H9" s="96" t="s">
        <v>14</v>
      </c>
      <c r="I9" s="95" t="s">
        <v>14</v>
      </c>
    </row>
    <row r="10" spans="1:9" s="1" customFormat="1" ht="24" customHeight="1" x14ac:dyDescent="0.25">
      <c r="A10" s="1" t="s">
        <v>215</v>
      </c>
      <c r="B10" s="99">
        <v>4</v>
      </c>
      <c r="C10" s="98">
        <v>4001</v>
      </c>
      <c r="D10" s="98" t="s">
        <v>10</v>
      </c>
      <c r="E10" s="98">
        <v>4149</v>
      </c>
      <c r="F10" s="98"/>
      <c r="G10" s="97" t="s">
        <v>187</v>
      </c>
      <c r="H10" s="96" t="s">
        <v>14</v>
      </c>
      <c r="I10" s="95" t="s">
        <v>14</v>
      </c>
    </row>
    <row r="11" spans="1:9" s="1" customFormat="1" ht="24" customHeight="1" thickBot="1" x14ac:dyDescent="0.3">
      <c r="A11" s="1" t="s">
        <v>215</v>
      </c>
      <c r="B11" s="94">
        <v>5</v>
      </c>
      <c r="C11" s="93">
        <v>5001</v>
      </c>
      <c r="D11" s="93" t="s">
        <v>10</v>
      </c>
      <c r="E11" s="93">
        <v>5077</v>
      </c>
      <c r="F11" s="93"/>
      <c r="G11" s="92" t="s">
        <v>187</v>
      </c>
      <c r="H11" s="91" t="s">
        <v>14</v>
      </c>
      <c r="I11" s="90" t="s">
        <v>14</v>
      </c>
    </row>
    <row r="13" spans="1:9" x14ac:dyDescent="0.25">
      <c r="B13" t="s">
        <v>202</v>
      </c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658BC-2B70-439D-B090-19A1A50E47EF}">
  <dimension ref="A3:I15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81" t="s">
        <v>208</v>
      </c>
      <c r="C3" s="181"/>
      <c r="D3" s="181"/>
      <c r="E3" s="181"/>
      <c r="F3" s="181"/>
      <c r="G3" s="181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45" x14ac:dyDescent="0.25">
      <c r="A7" s="1" t="s">
        <v>216</v>
      </c>
      <c r="B7" s="118">
        <v>1</v>
      </c>
      <c r="C7" s="117">
        <v>1001</v>
      </c>
      <c r="D7" s="117" t="s">
        <v>10</v>
      </c>
      <c r="E7" s="116">
        <v>1378</v>
      </c>
      <c r="F7" s="127"/>
      <c r="G7" s="115" t="s">
        <v>187</v>
      </c>
      <c r="H7" s="114" t="s">
        <v>190</v>
      </c>
      <c r="I7" s="30" t="s">
        <v>14</v>
      </c>
    </row>
    <row r="8" spans="1:9" s="1" customFormat="1" ht="24" customHeight="1" x14ac:dyDescent="0.25">
      <c r="A8" s="1" t="s">
        <v>216</v>
      </c>
      <c r="B8" s="113">
        <v>2</v>
      </c>
      <c r="C8" s="112"/>
      <c r="D8" s="112"/>
      <c r="E8" s="111"/>
      <c r="F8" s="128"/>
      <c r="G8" s="110"/>
      <c r="H8" s="33"/>
      <c r="I8" s="34"/>
    </row>
    <row r="9" spans="1:9" s="1" customFormat="1" ht="24" customHeight="1" x14ac:dyDescent="0.25">
      <c r="A9" s="1" t="s">
        <v>216</v>
      </c>
      <c r="B9" s="113">
        <v>3</v>
      </c>
      <c r="C9" s="112"/>
      <c r="D9" s="112"/>
      <c r="E9" s="111"/>
      <c r="F9" s="128"/>
      <c r="G9" s="110"/>
      <c r="H9" s="33"/>
      <c r="I9" s="34"/>
    </row>
    <row r="10" spans="1:9" s="1" customFormat="1" ht="24" customHeight="1" x14ac:dyDescent="0.25">
      <c r="A10" s="1" t="s">
        <v>216</v>
      </c>
      <c r="B10" s="113">
        <v>4</v>
      </c>
      <c r="C10" s="112"/>
      <c r="D10" s="112"/>
      <c r="E10" s="111"/>
      <c r="F10" s="128"/>
      <c r="G10" s="110"/>
      <c r="H10" s="33"/>
      <c r="I10" s="34"/>
    </row>
    <row r="11" spans="1:9" s="1" customFormat="1" ht="24" customHeight="1" x14ac:dyDescent="0.25">
      <c r="A11" s="1" t="s">
        <v>216</v>
      </c>
      <c r="B11" s="113">
        <v>5</v>
      </c>
      <c r="C11" s="112"/>
      <c r="D11" s="112"/>
      <c r="E11" s="111"/>
      <c r="F11" s="128"/>
      <c r="G11" s="110"/>
      <c r="H11" s="33"/>
      <c r="I11" s="34"/>
    </row>
    <row r="12" spans="1:9" s="1" customFormat="1" ht="24" customHeight="1" x14ac:dyDescent="0.25">
      <c r="A12" s="1" t="s">
        <v>216</v>
      </c>
      <c r="B12" s="113">
        <v>6</v>
      </c>
      <c r="C12" s="112"/>
      <c r="D12" s="112"/>
      <c r="E12" s="111"/>
      <c r="F12" s="128"/>
      <c r="G12" s="110"/>
      <c r="H12" s="33"/>
      <c r="I12" s="34"/>
    </row>
    <row r="13" spans="1:9" s="1" customFormat="1" ht="24" customHeight="1" x14ac:dyDescent="0.25">
      <c r="A13" s="1" t="s">
        <v>216</v>
      </c>
      <c r="B13" s="113">
        <v>7</v>
      </c>
      <c r="C13" s="112"/>
      <c r="D13" s="112"/>
      <c r="E13" s="111"/>
      <c r="F13" s="128"/>
      <c r="G13" s="110"/>
      <c r="H13" s="33"/>
      <c r="I13" s="34"/>
    </row>
    <row r="14" spans="1:9" s="1" customFormat="1" ht="24" customHeight="1" x14ac:dyDescent="0.25">
      <c r="A14" s="1" t="s">
        <v>216</v>
      </c>
      <c r="B14" s="113">
        <v>8</v>
      </c>
      <c r="C14" s="112"/>
      <c r="D14" s="112"/>
      <c r="E14" s="111"/>
      <c r="F14" s="128"/>
      <c r="G14" s="110"/>
      <c r="H14" s="33"/>
      <c r="I14" s="34"/>
    </row>
    <row r="15" spans="1:9" s="1" customFormat="1" ht="24" customHeight="1" thickBot="1" x14ac:dyDescent="0.3">
      <c r="A15" s="1" t="s">
        <v>216</v>
      </c>
      <c r="B15" s="109">
        <v>9</v>
      </c>
      <c r="C15" s="108"/>
      <c r="D15" s="108"/>
      <c r="E15" s="107"/>
      <c r="F15" s="129"/>
      <c r="G15" s="106"/>
      <c r="H15" s="38"/>
      <c r="I15" s="39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6AFED-4A6C-4ABD-89CA-324A74A0CB89}">
  <dimension ref="A3:I15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81" t="s">
        <v>209</v>
      </c>
      <c r="C3" s="181"/>
      <c r="D3" s="181"/>
      <c r="E3" s="181"/>
      <c r="F3" s="181"/>
      <c r="G3" s="181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5.5" x14ac:dyDescent="0.25">
      <c r="A7" s="1" t="s">
        <v>217</v>
      </c>
      <c r="B7" s="118">
        <v>1</v>
      </c>
      <c r="C7" s="117">
        <v>1001</v>
      </c>
      <c r="D7" s="117" t="s">
        <v>10</v>
      </c>
      <c r="E7" s="116">
        <v>1086</v>
      </c>
      <c r="F7" s="127"/>
      <c r="G7" s="115" t="s">
        <v>187</v>
      </c>
      <c r="H7" s="30" t="s">
        <v>14</v>
      </c>
      <c r="I7" s="30" t="s">
        <v>14</v>
      </c>
    </row>
    <row r="8" spans="1:9" s="1" customFormat="1" ht="24" customHeight="1" x14ac:dyDescent="0.25">
      <c r="A8" s="1" t="s">
        <v>217</v>
      </c>
      <c r="B8" s="113">
        <v>2</v>
      </c>
      <c r="C8" s="112"/>
      <c r="D8" s="112"/>
      <c r="E8" s="111"/>
      <c r="F8" s="128"/>
      <c r="G8" s="110"/>
      <c r="H8" s="33"/>
      <c r="I8" s="34"/>
    </row>
    <row r="9" spans="1:9" s="1" customFormat="1" ht="24" customHeight="1" x14ac:dyDescent="0.25">
      <c r="A9" s="1" t="s">
        <v>217</v>
      </c>
      <c r="B9" s="113">
        <v>3</v>
      </c>
      <c r="C9" s="112"/>
      <c r="D9" s="112"/>
      <c r="E9" s="111"/>
      <c r="F9" s="128"/>
      <c r="G9" s="110"/>
      <c r="H9" s="33"/>
      <c r="I9" s="34"/>
    </row>
    <row r="10" spans="1:9" s="1" customFormat="1" ht="24" customHeight="1" x14ac:dyDescent="0.25">
      <c r="A10" s="1" t="s">
        <v>217</v>
      </c>
      <c r="B10" s="113">
        <v>4</v>
      </c>
      <c r="C10" s="112"/>
      <c r="D10" s="112"/>
      <c r="E10" s="111"/>
      <c r="F10" s="128"/>
      <c r="G10" s="110"/>
      <c r="H10" s="33"/>
      <c r="I10" s="34"/>
    </row>
    <row r="11" spans="1:9" s="1" customFormat="1" ht="24" customHeight="1" x14ac:dyDescent="0.25">
      <c r="A11" s="1" t="s">
        <v>217</v>
      </c>
      <c r="B11" s="113">
        <v>5</v>
      </c>
      <c r="C11" s="112"/>
      <c r="D11" s="112"/>
      <c r="E11" s="111"/>
      <c r="F11" s="128"/>
      <c r="G11" s="110"/>
      <c r="H11" s="33"/>
      <c r="I11" s="34"/>
    </row>
    <row r="12" spans="1:9" s="1" customFormat="1" ht="24" customHeight="1" x14ac:dyDescent="0.25">
      <c r="A12" s="1" t="s">
        <v>217</v>
      </c>
      <c r="B12" s="113">
        <v>6</v>
      </c>
      <c r="C12" s="112"/>
      <c r="D12" s="112"/>
      <c r="E12" s="111"/>
      <c r="F12" s="128"/>
      <c r="G12" s="110"/>
      <c r="H12" s="33"/>
      <c r="I12" s="34"/>
    </row>
    <row r="13" spans="1:9" s="1" customFormat="1" ht="24" customHeight="1" x14ac:dyDescent="0.25">
      <c r="A13" s="1" t="s">
        <v>217</v>
      </c>
      <c r="B13" s="113">
        <v>7</v>
      </c>
      <c r="C13" s="112"/>
      <c r="D13" s="112"/>
      <c r="E13" s="111"/>
      <c r="F13" s="128"/>
      <c r="G13" s="110"/>
      <c r="H13" s="33"/>
      <c r="I13" s="34"/>
    </row>
    <row r="14" spans="1:9" s="1" customFormat="1" ht="24" customHeight="1" x14ac:dyDescent="0.25">
      <c r="A14" s="1" t="s">
        <v>217</v>
      </c>
      <c r="B14" s="113">
        <v>8</v>
      </c>
      <c r="C14" s="112"/>
      <c r="D14" s="112"/>
      <c r="E14" s="111"/>
      <c r="F14" s="128"/>
      <c r="G14" s="110"/>
      <c r="H14" s="33"/>
      <c r="I14" s="34"/>
    </row>
    <row r="15" spans="1:9" s="1" customFormat="1" ht="24" customHeight="1" thickBot="1" x14ac:dyDescent="0.3">
      <c r="A15" s="1" t="s">
        <v>217</v>
      </c>
      <c r="B15" s="109">
        <v>9</v>
      </c>
      <c r="C15" s="108"/>
      <c r="D15" s="108"/>
      <c r="E15" s="107"/>
      <c r="F15" s="129"/>
      <c r="G15" s="106"/>
      <c r="H15" s="38"/>
      <c r="I15" s="39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9A44E-C64E-4687-B512-878389AD7BFF}">
  <dimension ref="A3:K15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11" ht="16.5" x14ac:dyDescent="0.25">
      <c r="B3" s="181" t="s">
        <v>211</v>
      </c>
      <c r="C3" s="181"/>
      <c r="D3" s="181"/>
      <c r="E3" s="181"/>
      <c r="F3" s="181"/>
      <c r="G3" s="181"/>
    </row>
    <row r="4" spans="1:11" ht="15.75" thickBot="1" x14ac:dyDescent="0.3"/>
    <row r="5" spans="1:11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11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11" s="1" customFormat="1" ht="45" x14ac:dyDescent="0.25">
      <c r="A7" s="1" t="s">
        <v>218</v>
      </c>
      <c r="B7" s="118">
        <v>1</v>
      </c>
      <c r="C7" s="117">
        <v>1001</v>
      </c>
      <c r="D7" s="117" t="s">
        <v>10</v>
      </c>
      <c r="E7" s="116">
        <v>1079</v>
      </c>
      <c r="F7" s="127"/>
      <c r="G7" s="115" t="s">
        <v>187</v>
      </c>
      <c r="H7" s="124" t="s">
        <v>190</v>
      </c>
      <c r="I7" s="30" t="s">
        <v>14</v>
      </c>
    </row>
    <row r="8" spans="1:11" s="1" customFormat="1" ht="45" x14ac:dyDescent="0.25">
      <c r="A8" s="1" t="s">
        <v>218</v>
      </c>
      <c r="B8" s="113">
        <v>2</v>
      </c>
      <c r="C8" s="112">
        <v>1080</v>
      </c>
      <c r="D8" s="123" t="s">
        <v>10</v>
      </c>
      <c r="E8" s="122">
        <v>1086</v>
      </c>
      <c r="F8" s="130"/>
      <c r="G8" s="121" t="s">
        <v>19</v>
      </c>
      <c r="H8" s="120" t="s">
        <v>190</v>
      </c>
      <c r="I8" s="119" t="s">
        <v>14</v>
      </c>
      <c r="K8" s="1" t="s">
        <v>210</v>
      </c>
    </row>
    <row r="9" spans="1:11" s="1" customFormat="1" ht="24" customHeight="1" x14ac:dyDescent="0.25">
      <c r="A9" s="1" t="s">
        <v>218</v>
      </c>
      <c r="B9" s="113">
        <v>3</v>
      </c>
      <c r="C9" s="112"/>
      <c r="D9" s="112"/>
      <c r="E9" s="111"/>
      <c r="F9" s="128"/>
      <c r="G9" s="110"/>
      <c r="H9" s="33"/>
      <c r="I9" s="34"/>
    </row>
    <row r="10" spans="1:11" s="1" customFormat="1" ht="24" customHeight="1" x14ac:dyDescent="0.25">
      <c r="A10" s="1" t="s">
        <v>218</v>
      </c>
      <c r="B10" s="113">
        <v>4</v>
      </c>
      <c r="C10" s="112"/>
      <c r="D10" s="112"/>
      <c r="E10" s="111"/>
      <c r="F10" s="128"/>
      <c r="G10" s="110"/>
      <c r="H10" s="33"/>
      <c r="I10" s="34"/>
    </row>
    <row r="11" spans="1:11" s="1" customFormat="1" ht="24" customHeight="1" x14ac:dyDescent="0.25">
      <c r="A11" s="1" t="s">
        <v>218</v>
      </c>
      <c r="B11" s="113">
        <v>5</v>
      </c>
      <c r="C11" s="112"/>
      <c r="D11" s="112"/>
      <c r="E11" s="111"/>
      <c r="F11" s="128"/>
      <c r="G11" s="110"/>
      <c r="H11" s="33"/>
      <c r="I11" s="34"/>
    </row>
    <row r="12" spans="1:11" s="1" customFormat="1" ht="24" customHeight="1" x14ac:dyDescent="0.25">
      <c r="A12" s="1" t="s">
        <v>218</v>
      </c>
      <c r="B12" s="113">
        <v>6</v>
      </c>
      <c r="C12" s="112"/>
      <c r="D12" s="112"/>
      <c r="E12" s="111"/>
      <c r="F12" s="128"/>
      <c r="G12" s="110"/>
      <c r="H12" s="33"/>
      <c r="I12" s="34"/>
    </row>
    <row r="13" spans="1:11" s="1" customFormat="1" ht="24" customHeight="1" x14ac:dyDescent="0.25">
      <c r="A13" s="1" t="s">
        <v>218</v>
      </c>
      <c r="B13" s="113">
        <v>7</v>
      </c>
      <c r="C13" s="112"/>
      <c r="D13" s="112"/>
      <c r="E13" s="111"/>
      <c r="F13" s="128"/>
      <c r="G13" s="110"/>
      <c r="H13" s="33"/>
      <c r="I13" s="34"/>
    </row>
    <row r="14" spans="1:11" s="1" customFormat="1" ht="24" customHeight="1" x14ac:dyDescent="0.25">
      <c r="A14" s="1" t="s">
        <v>218</v>
      </c>
      <c r="B14" s="113">
        <v>8</v>
      </c>
      <c r="C14" s="112"/>
      <c r="D14" s="112"/>
      <c r="E14" s="111"/>
      <c r="F14" s="128"/>
      <c r="G14" s="110"/>
      <c r="H14" s="33"/>
      <c r="I14" s="34"/>
    </row>
    <row r="15" spans="1:11" s="1" customFormat="1" ht="24" customHeight="1" thickBot="1" x14ac:dyDescent="0.3">
      <c r="A15" s="1" t="s">
        <v>218</v>
      </c>
      <c r="B15" s="109">
        <v>9</v>
      </c>
      <c r="C15" s="108"/>
      <c r="D15" s="108"/>
      <c r="E15" s="107"/>
      <c r="F15" s="129"/>
      <c r="G15" s="106"/>
      <c r="H15" s="38"/>
      <c r="I15" s="39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A4A05-6F99-449A-8BC9-6A0662D6986E}">
  <dimension ref="A3:I15"/>
  <sheetViews>
    <sheetView workbookViewId="0">
      <selection activeCell="H28" sqref="H2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81" t="s">
        <v>212</v>
      </c>
      <c r="C3" s="181"/>
      <c r="D3" s="181"/>
      <c r="E3" s="181"/>
      <c r="F3" s="181"/>
      <c r="G3" s="181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5.5" x14ac:dyDescent="0.25">
      <c r="A7" s="1" t="s">
        <v>219</v>
      </c>
      <c r="B7" s="118">
        <v>1</v>
      </c>
      <c r="C7" s="117">
        <v>2001</v>
      </c>
      <c r="D7" s="117" t="s">
        <v>10</v>
      </c>
      <c r="E7" s="116">
        <v>2104</v>
      </c>
      <c r="F7" s="127"/>
      <c r="G7" s="115" t="s">
        <v>187</v>
      </c>
      <c r="H7" s="30" t="s">
        <v>14</v>
      </c>
      <c r="I7" s="30" t="s">
        <v>14</v>
      </c>
    </row>
    <row r="8" spans="1:9" s="1" customFormat="1" ht="24" customHeight="1" x14ac:dyDescent="0.25">
      <c r="A8" s="1" t="s">
        <v>219</v>
      </c>
      <c r="B8" s="113">
        <v>2</v>
      </c>
      <c r="C8" s="112"/>
      <c r="D8" s="112"/>
      <c r="E8" s="111"/>
      <c r="F8" s="128"/>
      <c r="G8" s="110"/>
      <c r="H8" s="33"/>
      <c r="I8" s="34"/>
    </row>
    <row r="9" spans="1:9" s="1" customFormat="1" ht="24" customHeight="1" x14ac:dyDescent="0.25">
      <c r="A9" s="1" t="s">
        <v>219</v>
      </c>
      <c r="B9" s="113">
        <v>3</v>
      </c>
      <c r="C9" s="112"/>
      <c r="D9" s="112"/>
      <c r="E9" s="111"/>
      <c r="F9" s="128"/>
      <c r="G9" s="110"/>
      <c r="H9" s="33"/>
      <c r="I9" s="34"/>
    </row>
    <row r="10" spans="1:9" s="1" customFormat="1" ht="24" customHeight="1" x14ac:dyDescent="0.25">
      <c r="A10" s="1" t="s">
        <v>219</v>
      </c>
      <c r="B10" s="113">
        <v>4</v>
      </c>
      <c r="C10" s="112"/>
      <c r="D10" s="112"/>
      <c r="E10" s="111"/>
      <c r="F10" s="128"/>
      <c r="G10" s="110"/>
      <c r="H10" s="33"/>
      <c r="I10" s="34"/>
    </row>
    <row r="11" spans="1:9" s="1" customFormat="1" ht="24" customHeight="1" x14ac:dyDescent="0.25">
      <c r="A11" s="1" t="s">
        <v>219</v>
      </c>
      <c r="B11" s="113">
        <v>5</v>
      </c>
      <c r="C11" s="112"/>
      <c r="D11" s="112"/>
      <c r="E11" s="111"/>
      <c r="F11" s="128"/>
      <c r="G11" s="110"/>
      <c r="H11" s="33"/>
      <c r="I11" s="34"/>
    </row>
    <row r="12" spans="1:9" s="1" customFormat="1" ht="24" customHeight="1" x14ac:dyDescent="0.25">
      <c r="A12" s="1" t="s">
        <v>219</v>
      </c>
      <c r="B12" s="113">
        <v>6</v>
      </c>
      <c r="C12" s="112"/>
      <c r="D12" s="112"/>
      <c r="E12" s="111"/>
      <c r="F12" s="128"/>
      <c r="G12" s="110"/>
      <c r="H12" s="33"/>
      <c r="I12" s="34"/>
    </row>
    <row r="13" spans="1:9" s="1" customFormat="1" ht="24" customHeight="1" x14ac:dyDescent="0.25">
      <c r="A13" s="1" t="s">
        <v>219</v>
      </c>
      <c r="B13" s="113">
        <v>7</v>
      </c>
      <c r="C13" s="112"/>
      <c r="D13" s="112"/>
      <c r="E13" s="111"/>
      <c r="F13" s="128"/>
      <c r="G13" s="110"/>
      <c r="H13" s="33"/>
      <c r="I13" s="34"/>
    </row>
    <row r="14" spans="1:9" s="1" customFormat="1" ht="24" customHeight="1" x14ac:dyDescent="0.25">
      <c r="A14" s="1" t="s">
        <v>219</v>
      </c>
      <c r="B14" s="113">
        <v>8</v>
      </c>
      <c r="C14" s="112"/>
      <c r="D14" s="112"/>
      <c r="E14" s="111"/>
      <c r="F14" s="128"/>
      <c r="G14" s="110"/>
      <c r="H14" s="33"/>
      <c r="I14" s="34"/>
    </row>
    <row r="15" spans="1:9" s="1" customFormat="1" ht="24" customHeight="1" thickBot="1" x14ac:dyDescent="0.3">
      <c r="A15" s="1" t="s">
        <v>219</v>
      </c>
      <c r="B15" s="109">
        <v>9</v>
      </c>
      <c r="C15" s="108"/>
      <c r="D15" s="108"/>
      <c r="E15" s="107"/>
      <c r="F15" s="129"/>
      <c r="G15" s="106"/>
      <c r="H15" s="38"/>
      <c r="I15" s="39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CA536-20A7-4295-89F5-5B2DB30F21DF}">
  <dimension ref="A3:I15"/>
  <sheetViews>
    <sheetView workbookViewId="0">
      <selection activeCell="A5" sqref="A5:I6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81" t="s">
        <v>213</v>
      </c>
      <c r="C3" s="181"/>
      <c r="D3" s="181"/>
      <c r="E3" s="181"/>
      <c r="F3" s="181"/>
      <c r="G3" s="181"/>
    </row>
    <row r="4" spans="1:9" ht="15.75" thickBot="1" x14ac:dyDescent="0.3"/>
    <row r="5" spans="1:9" s="1" customFormat="1" ht="23.25" customHeight="1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23.25" customHeight="1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5.5" x14ac:dyDescent="0.25">
      <c r="A7" s="1" t="s">
        <v>220</v>
      </c>
      <c r="B7" s="118">
        <v>1</v>
      </c>
      <c r="C7" s="117">
        <v>1001</v>
      </c>
      <c r="D7" s="117" t="s">
        <v>10</v>
      </c>
      <c r="E7" s="116">
        <v>1063</v>
      </c>
      <c r="F7" s="127"/>
      <c r="G7" s="115" t="s">
        <v>187</v>
      </c>
      <c r="H7" s="30" t="s">
        <v>14</v>
      </c>
      <c r="I7" s="30" t="s">
        <v>14</v>
      </c>
    </row>
    <row r="8" spans="1:9" s="1" customFormat="1" ht="24" customHeight="1" x14ac:dyDescent="0.25">
      <c r="A8" s="1" t="s">
        <v>220</v>
      </c>
      <c r="B8" s="113">
        <v>2</v>
      </c>
      <c r="C8" s="112"/>
      <c r="D8" s="112"/>
      <c r="E8" s="111"/>
      <c r="F8" s="128"/>
      <c r="G8" s="110"/>
      <c r="H8" s="33"/>
      <c r="I8" s="34"/>
    </row>
    <row r="9" spans="1:9" s="1" customFormat="1" ht="24" customHeight="1" x14ac:dyDescent="0.25">
      <c r="A9" s="1" t="s">
        <v>220</v>
      </c>
      <c r="B9" s="113">
        <v>3</v>
      </c>
      <c r="C9" s="112"/>
      <c r="D9" s="112"/>
      <c r="E9" s="111"/>
      <c r="F9" s="128"/>
      <c r="G9" s="110"/>
      <c r="H9" s="33"/>
      <c r="I9" s="34"/>
    </row>
    <row r="10" spans="1:9" s="1" customFormat="1" ht="24" customHeight="1" x14ac:dyDescent="0.25">
      <c r="A10" s="1" t="s">
        <v>220</v>
      </c>
      <c r="B10" s="113">
        <v>4</v>
      </c>
      <c r="C10" s="112"/>
      <c r="D10" s="112"/>
      <c r="E10" s="111"/>
      <c r="F10" s="128"/>
      <c r="G10" s="110"/>
      <c r="H10" s="33"/>
      <c r="I10" s="34"/>
    </row>
    <row r="11" spans="1:9" s="1" customFormat="1" ht="24" customHeight="1" x14ac:dyDescent="0.25">
      <c r="A11" s="1" t="s">
        <v>220</v>
      </c>
      <c r="B11" s="113">
        <v>5</v>
      </c>
      <c r="C11" s="112"/>
      <c r="D11" s="112"/>
      <c r="E11" s="111"/>
      <c r="F11" s="128"/>
      <c r="G11" s="110"/>
      <c r="H11" s="33"/>
      <c r="I11" s="34"/>
    </row>
    <row r="12" spans="1:9" s="1" customFormat="1" ht="24" customHeight="1" x14ac:dyDescent="0.25">
      <c r="A12" s="1" t="s">
        <v>220</v>
      </c>
      <c r="B12" s="113">
        <v>6</v>
      </c>
      <c r="C12" s="112"/>
      <c r="D12" s="112"/>
      <c r="E12" s="111"/>
      <c r="F12" s="128"/>
      <c r="G12" s="110"/>
      <c r="H12" s="33"/>
      <c r="I12" s="34"/>
    </row>
    <row r="13" spans="1:9" s="1" customFormat="1" ht="24" customHeight="1" x14ac:dyDescent="0.25">
      <c r="A13" s="1" t="s">
        <v>220</v>
      </c>
      <c r="B13" s="113">
        <v>7</v>
      </c>
      <c r="C13" s="112"/>
      <c r="D13" s="112"/>
      <c r="E13" s="111"/>
      <c r="F13" s="128"/>
      <c r="G13" s="110"/>
      <c r="H13" s="33"/>
      <c r="I13" s="34"/>
    </row>
    <row r="14" spans="1:9" s="1" customFormat="1" ht="24" customHeight="1" x14ac:dyDescent="0.25">
      <c r="A14" s="1" t="s">
        <v>220</v>
      </c>
      <c r="B14" s="113">
        <v>8</v>
      </c>
      <c r="C14" s="112"/>
      <c r="D14" s="112"/>
      <c r="E14" s="111"/>
      <c r="F14" s="128"/>
      <c r="G14" s="110"/>
      <c r="H14" s="33"/>
      <c r="I14" s="34"/>
    </row>
    <row r="15" spans="1:9" s="1" customFormat="1" ht="24" customHeight="1" thickBot="1" x14ac:dyDescent="0.3">
      <c r="A15" s="1" t="s">
        <v>220</v>
      </c>
      <c r="B15" s="109">
        <v>9</v>
      </c>
      <c r="C15" s="108"/>
      <c r="D15" s="108"/>
      <c r="E15" s="107"/>
      <c r="F15" s="129"/>
      <c r="G15" s="106"/>
      <c r="H15" s="38"/>
      <c r="I15" s="39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510EA-0BA9-4438-8590-7C237B12D31C}">
  <dimension ref="A3:I22"/>
  <sheetViews>
    <sheetView workbookViewId="0">
      <selection activeCell="F13" sqref="F13:G13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221</v>
      </c>
      <c r="C3" s="170"/>
      <c r="D3" s="170"/>
      <c r="E3" s="170"/>
      <c r="F3" s="170"/>
      <c r="G3" s="170"/>
    </row>
    <row r="4" spans="1:9" ht="15.75" thickBot="1" x14ac:dyDescent="0.3"/>
    <row r="5" spans="1:9" s="1" customFormat="1" ht="15.75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252</v>
      </c>
      <c r="B7" s="131">
        <v>1</v>
      </c>
      <c r="C7" s="132" t="s">
        <v>222</v>
      </c>
      <c r="D7" s="132" t="s">
        <v>10</v>
      </c>
      <c r="E7" s="133" t="s">
        <v>223</v>
      </c>
      <c r="F7" s="139"/>
      <c r="G7" s="134" t="s">
        <v>19</v>
      </c>
      <c r="H7" s="58" t="s">
        <v>14</v>
      </c>
      <c r="I7" s="119" t="s">
        <v>14</v>
      </c>
    </row>
    <row r="8" spans="1:9" s="1" customFormat="1" ht="24" customHeight="1" x14ac:dyDescent="0.25">
      <c r="A8" s="1" t="s">
        <v>252</v>
      </c>
      <c r="B8" s="5">
        <v>2</v>
      </c>
      <c r="C8" s="2" t="s">
        <v>224</v>
      </c>
      <c r="D8" s="2" t="s">
        <v>10</v>
      </c>
      <c r="E8" s="9" t="s">
        <v>224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4" customHeight="1" x14ac:dyDescent="0.25">
      <c r="A9" s="1" t="s">
        <v>252</v>
      </c>
      <c r="B9" s="5">
        <v>3</v>
      </c>
      <c r="C9" s="2">
        <v>2000</v>
      </c>
      <c r="D9" s="2" t="s">
        <v>10</v>
      </c>
      <c r="E9" s="9">
        <v>2373</v>
      </c>
      <c r="F9" s="41"/>
      <c r="G9" s="14" t="s">
        <v>19</v>
      </c>
      <c r="H9" s="33" t="s">
        <v>14</v>
      </c>
      <c r="I9" s="34" t="s">
        <v>14</v>
      </c>
    </row>
    <row r="10" spans="1:9" s="1" customFormat="1" ht="24" customHeight="1" x14ac:dyDescent="0.25">
      <c r="A10" s="1" t="s">
        <v>252</v>
      </c>
      <c r="B10" s="5">
        <v>4</v>
      </c>
      <c r="C10" s="2">
        <v>3003</v>
      </c>
      <c r="D10" s="2" t="s">
        <v>10</v>
      </c>
      <c r="E10" s="9">
        <v>3281</v>
      </c>
      <c r="F10" s="41"/>
      <c r="G10" s="14" t="s">
        <v>19</v>
      </c>
      <c r="H10" s="33" t="s">
        <v>14</v>
      </c>
      <c r="I10" s="34" t="s">
        <v>14</v>
      </c>
    </row>
    <row r="11" spans="1:9" s="1" customFormat="1" ht="24" customHeight="1" x14ac:dyDescent="0.25">
      <c r="A11" s="1" t="s">
        <v>252</v>
      </c>
      <c r="B11" s="5">
        <v>5</v>
      </c>
      <c r="C11" s="2">
        <v>4002</v>
      </c>
      <c r="D11" s="2" t="s">
        <v>10</v>
      </c>
      <c r="E11" s="9">
        <v>4260</v>
      </c>
      <c r="F11" s="41"/>
      <c r="G11" s="14" t="s">
        <v>19</v>
      </c>
      <c r="H11" s="33" t="s">
        <v>14</v>
      </c>
      <c r="I11" s="34" t="s">
        <v>14</v>
      </c>
    </row>
    <row r="12" spans="1:9" s="1" customFormat="1" ht="24" customHeight="1" x14ac:dyDescent="0.25">
      <c r="A12" s="1" t="s">
        <v>252</v>
      </c>
      <c r="B12" s="5">
        <v>6</v>
      </c>
      <c r="C12" s="132" t="s">
        <v>50</v>
      </c>
      <c r="D12" s="132" t="s">
        <v>10</v>
      </c>
      <c r="E12" s="133" t="s">
        <v>225</v>
      </c>
      <c r="F12" s="139"/>
      <c r="G12" s="134" t="s">
        <v>12</v>
      </c>
      <c r="H12" s="58" t="s">
        <v>14</v>
      </c>
      <c r="I12" s="119" t="s">
        <v>14</v>
      </c>
    </row>
    <row r="13" spans="1:9" s="1" customFormat="1" ht="24" customHeight="1" x14ac:dyDescent="0.2">
      <c r="A13" s="1" t="s">
        <v>252</v>
      </c>
      <c r="B13" s="5">
        <v>7</v>
      </c>
      <c r="C13" s="2" t="s">
        <v>226</v>
      </c>
      <c r="D13" s="2" t="s">
        <v>10</v>
      </c>
      <c r="E13" s="9" t="s">
        <v>227</v>
      </c>
      <c r="F13" s="62" t="s">
        <v>31</v>
      </c>
      <c r="G13" s="62" t="s">
        <v>32</v>
      </c>
      <c r="H13" s="33" t="s">
        <v>14</v>
      </c>
      <c r="I13" s="34" t="s">
        <v>14</v>
      </c>
    </row>
    <row r="14" spans="1:9" s="1" customFormat="1" ht="24" customHeight="1" x14ac:dyDescent="0.25">
      <c r="B14" s="5"/>
      <c r="C14" s="2"/>
      <c r="D14" s="2"/>
      <c r="E14" s="9"/>
      <c r="F14" s="41"/>
      <c r="G14" s="14"/>
      <c r="H14" s="33"/>
      <c r="I14" s="34"/>
    </row>
    <row r="15" spans="1:9" s="1" customFormat="1" ht="24" customHeight="1" x14ac:dyDescent="0.25">
      <c r="B15" s="5"/>
      <c r="C15" s="2"/>
      <c r="D15" s="2"/>
      <c r="E15" s="9"/>
      <c r="F15" s="41"/>
      <c r="G15" s="14"/>
      <c r="H15" s="33"/>
      <c r="I15" s="34"/>
    </row>
    <row r="16" spans="1:9" s="1" customFormat="1" ht="24" customHeight="1" x14ac:dyDescent="0.25">
      <c r="B16" s="5"/>
      <c r="C16" s="2"/>
      <c r="D16" s="2"/>
      <c r="E16" s="9"/>
      <c r="F16" s="41"/>
      <c r="G16" s="14"/>
      <c r="H16" s="33"/>
      <c r="I16" s="34"/>
    </row>
    <row r="17" spans="2:9" s="1" customFormat="1" ht="24" customHeight="1" x14ac:dyDescent="0.25">
      <c r="B17" s="5"/>
      <c r="C17" s="2"/>
      <c r="D17" s="2"/>
      <c r="E17" s="9"/>
      <c r="F17" s="41"/>
      <c r="G17" s="14"/>
      <c r="H17" s="135"/>
      <c r="I17" s="136"/>
    </row>
    <row r="18" spans="2:9" s="1" customFormat="1" ht="24" customHeight="1" x14ac:dyDescent="0.25">
      <c r="B18" s="5"/>
      <c r="C18" s="2"/>
      <c r="D18" s="2"/>
      <c r="E18" s="9"/>
      <c r="F18" s="41"/>
      <c r="G18" s="14"/>
      <c r="H18" s="135"/>
      <c r="I18" s="136"/>
    </row>
    <row r="19" spans="2:9" s="1" customFormat="1" ht="24" customHeight="1" x14ac:dyDescent="0.25">
      <c r="B19" s="5"/>
      <c r="C19" s="2"/>
      <c r="D19" s="2"/>
      <c r="E19" s="9"/>
      <c r="F19" s="41"/>
      <c r="G19" s="14"/>
      <c r="H19" s="135"/>
      <c r="I19" s="136"/>
    </row>
    <row r="20" spans="2:9" s="1" customFormat="1" ht="24" customHeight="1" x14ac:dyDescent="0.25">
      <c r="B20" s="5"/>
      <c r="C20" s="2"/>
      <c r="D20" s="2"/>
      <c r="E20" s="9"/>
      <c r="F20" s="41"/>
      <c r="G20" s="14"/>
      <c r="H20" s="135"/>
      <c r="I20" s="136"/>
    </row>
    <row r="21" spans="2:9" s="1" customFormat="1" ht="24" customHeight="1" x14ac:dyDescent="0.25">
      <c r="B21" s="5"/>
      <c r="C21" s="2"/>
      <c r="D21" s="2"/>
      <c r="E21" s="9"/>
      <c r="F21" s="41"/>
      <c r="G21" s="14"/>
      <c r="H21" s="135"/>
      <c r="I21" s="136"/>
    </row>
    <row r="22" spans="2:9" s="1" customFormat="1" ht="15.75" thickBot="1" x14ac:dyDescent="0.3">
      <c r="B22" s="6"/>
      <c r="C22" s="7"/>
      <c r="D22" s="7"/>
      <c r="E22" s="10"/>
      <c r="F22" s="59"/>
      <c r="G22" s="15"/>
      <c r="H22" s="137"/>
      <c r="I22" s="138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F3B6-EC39-4A30-AB2F-478872AF88AC}">
  <dimension ref="A3:I22"/>
  <sheetViews>
    <sheetView workbookViewId="0">
      <selection activeCell="A7" sqref="A7:A9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228</v>
      </c>
      <c r="C3" s="170"/>
      <c r="D3" s="170"/>
      <c r="E3" s="170"/>
      <c r="F3" s="170"/>
      <c r="G3" s="170"/>
    </row>
    <row r="4" spans="1:9" ht="15.75" thickBot="1" x14ac:dyDescent="0.3"/>
    <row r="5" spans="1:9" s="1" customFormat="1" ht="15.75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251</v>
      </c>
      <c r="B7" s="131">
        <v>1</v>
      </c>
      <c r="C7" s="132" t="s">
        <v>229</v>
      </c>
      <c r="D7" s="132" t="s">
        <v>10</v>
      </c>
      <c r="E7" s="133" t="s">
        <v>230</v>
      </c>
      <c r="F7" s="139"/>
      <c r="G7" s="134" t="s">
        <v>19</v>
      </c>
      <c r="H7" s="58" t="s">
        <v>14</v>
      </c>
      <c r="I7" s="119" t="s">
        <v>14</v>
      </c>
    </row>
    <row r="8" spans="1:9" s="1" customFormat="1" ht="24" customHeight="1" x14ac:dyDescent="0.25">
      <c r="A8" s="1" t="s">
        <v>251</v>
      </c>
      <c r="B8" s="5">
        <v>2</v>
      </c>
      <c r="C8" s="2">
        <v>1001</v>
      </c>
      <c r="D8" s="2" t="s">
        <v>10</v>
      </c>
      <c r="E8" s="9">
        <v>1685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4" customHeight="1" x14ac:dyDescent="0.25">
      <c r="A9" s="1" t="s">
        <v>251</v>
      </c>
      <c r="B9" s="131">
        <v>3</v>
      </c>
      <c r="C9" s="132" t="s">
        <v>231</v>
      </c>
      <c r="D9" s="132" t="s">
        <v>10</v>
      </c>
      <c r="E9" s="133" t="s">
        <v>232</v>
      </c>
      <c r="F9" s="139"/>
      <c r="G9" s="134" t="s">
        <v>12</v>
      </c>
      <c r="H9" s="58" t="s">
        <v>14</v>
      </c>
      <c r="I9" s="119" t="s">
        <v>14</v>
      </c>
    </row>
    <row r="10" spans="1:9" s="1" customFormat="1" ht="24" customHeight="1" x14ac:dyDescent="0.25">
      <c r="B10" s="5"/>
      <c r="C10" s="2"/>
      <c r="D10" s="2"/>
      <c r="E10" s="9"/>
      <c r="F10" s="41"/>
      <c r="G10" s="14"/>
      <c r="H10" s="33"/>
      <c r="I10" s="34"/>
    </row>
    <row r="11" spans="1:9" s="1" customFormat="1" ht="24" customHeight="1" x14ac:dyDescent="0.25">
      <c r="B11" s="5"/>
      <c r="C11" s="2"/>
      <c r="D11" s="2"/>
      <c r="E11" s="9"/>
      <c r="F11" s="41"/>
      <c r="G11" s="14"/>
      <c r="H11" s="33"/>
      <c r="I11" s="34"/>
    </row>
    <row r="12" spans="1:9" s="1" customFormat="1" ht="24" customHeight="1" x14ac:dyDescent="0.25">
      <c r="B12" s="5"/>
      <c r="C12" s="2"/>
      <c r="D12" s="2"/>
      <c r="E12" s="9"/>
      <c r="F12" s="41"/>
      <c r="G12" s="14"/>
      <c r="H12" s="33"/>
      <c r="I12" s="34"/>
    </row>
    <row r="13" spans="1:9" s="1" customFormat="1" ht="24" customHeight="1" x14ac:dyDescent="0.25">
      <c r="B13" s="5"/>
      <c r="C13" s="2"/>
      <c r="D13" s="2"/>
      <c r="E13" s="9"/>
      <c r="F13" s="41"/>
      <c r="G13" s="14"/>
      <c r="H13" s="33"/>
      <c r="I13" s="34"/>
    </row>
    <row r="14" spans="1:9" s="1" customFormat="1" ht="24" customHeight="1" x14ac:dyDescent="0.25">
      <c r="B14" s="5"/>
      <c r="C14" s="2"/>
      <c r="D14" s="2"/>
      <c r="E14" s="9"/>
      <c r="F14" s="41"/>
      <c r="G14" s="14"/>
      <c r="H14" s="33"/>
      <c r="I14" s="34"/>
    </row>
    <row r="15" spans="1:9" s="1" customFormat="1" ht="24" customHeight="1" x14ac:dyDescent="0.25">
      <c r="B15" s="5"/>
      <c r="C15" s="2"/>
      <c r="D15" s="2"/>
      <c r="E15" s="9"/>
      <c r="F15" s="41"/>
      <c r="G15" s="14"/>
      <c r="H15" s="33"/>
      <c r="I15" s="34"/>
    </row>
    <row r="16" spans="1:9" s="1" customFormat="1" ht="24" customHeight="1" x14ac:dyDescent="0.25">
      <c r="B16" s="5"/>
      <c r="C16" s="2"/>
      <c r="D16" s="2"/>
      <c r="E16" s="9"/>
      <c r="F16" s="41"/>
      <c r="G16" s="14"/>
      <c r="H16" s="33"/>
      <c r="I16" s="34"/>
    </row>
    <row r="17" spans="2:9" s="1" customFormat="1" ht="24" customHeight="1" x14ac:dyDescent="0.25">
      <c r="B17" s="5"/>
      <c r="C17" s="2"/>
      <c r="D17" s="2"/>
      <c r="E17" s="9"/>
      <c r="F17" s="41"/>
      <c r="G17" s="14"/>
      <c r="H17" s="135"/>
      <c r="I17" s="136"/>
    </row>
    <row r="18" spans="2:9" s="1" customFormat="1" ht="24" customHeight="1" x14ac:dyDescent="0.25">
      <c r="B18" s="5"/>
      <c r="C18" s="2"/>
      <c r="D18" s="2"/>
      <c r="E18" s="9"/>
      <c r="F18" s="41"/>
      <c r="G18" s="14"/>
      <c r="H18" s="135"/>
      <c r="I18" s="136"/>
    </row>
    <row r="19" spans="2:9" s="1" customFormat="1" ht="24" customHeight="1" x14ac:dyDescent="0.25">
      <c r="B19" s="5"/>
      <c r="C19" s="2"/>
      <c r="D19" s="2"/>
      <c r="E19" s="9"/>
      <c r="F19" s="41"/>
      <c r="G19" s="14"/>
      <c r="H19" s="135"/>
      <c r="I19" s="136"/>
    </row>
    <row r="20" spans="2:9" s="1" customFormat="1" ht="24" customHeight="1" x14ac:dyDescent="0.25">
      <c r="B20" s="5"/>
      <c r="C20" s="2"/>
      <c r="D20" s="2"/>
      <c r="E20" s="9"/>
      <c r="F20" s="41"/>
      <c r="G20" s="14"/>
      <c r="H20" s="135"/>
      <c r="I20" s="136"/>
    </row>
    <row r="21" spans="2:9" s="1" customFormat="1" ht="24" customHeight="1" x14ac:dyDescent="0.25">
      <c r="B21" s="5"/>
      <c r="C21" s="2"/>
      <c r="D21" s="2"/>
      <c r="E21" s="9"/>
      <c r="F21" s="41"/>
      <c r="G21" s="14"/>
      <c r="H21" s="135"/>
      <c r="I21" s="136"/>
    </row>
    <row r="22" spans="2:9" s="1" customFormat="1" ht="15.75" thickBot="1" x14ac:dyDescent="0.3">
      <c r="B22" s="6"/>
      <c r="C22" s="7"/>
      <c r="D22" s="7"/>
      <c r="E22" s="10"/>
      <c r="F22" s="59"/>
      <c r="G22" s="15"/>
      <c r="H22" s="137"/>
      <c r="I22" s="138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5C6A7-7E59-4D2F-BE8F-915804131DB7}">
  <dimension ref="A3:I23"/>
  <sheetViews>
    <sheetView workbookViewId="0">
      <selection activeCell="F14" sqref="F14:G14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233</v>
      </c>
      <c r="C3" s="170"/>
      <c r="D3" s="170"/>
      <c r="E3" s="170"/>
      <c r="F3" s="170"/>
      <c r="G3" s="170"/>
    </row>
    <row r="4" spans="1:9" ht="15.75" thickBot="1" x14ac:dyDescent="0.3"/>
    <row r="5" spans="1:9" s="1" customFormat="1" ht="15.75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x14ac:dyDescent="0.25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250</v>
      </c>
      <c r="B7" s="131">
        <v>1</v>
      </c>
      <c r="C7" s="132" t="s">
        <v>229</v>
      </c>
      <c r="D7" s="132" t="s">
        <v>10</v>
      </c>
      <c r="E7" s="133" t="s">
        <v>234</v>
      </c>
      <c r="F7" s="139"/>
      <c r="G7" s="134" t="s">
        <v>19</v>
      </c>
      <c r="H7" s="58" t="s">
        <v>14</v>
      </c>
      <c r="I7" s="119" t="s">
        <v>14</v>
      </c>
    </row>
    <row r="8" spans="1:9" s="1" customFormat="1" ht="24" customHeight="1" x14ac:dyDescent="0.25">
      <c r="A8" s="1" t="s">
        <v>250</v>
      </c>
      <c r="B8" s="5">
        <v>2</v>
      </c>
      <c r="C8" s="2" t="s">
        <v>235</v>
      </c>
      <c r="D8" s="2" t="s">
        <v>10</v>
      </c>
      <c r="E8" s="9" t="s">
        <v>235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4" customHeight="1" x14ac:dyDescent="0.25">
      <c r="A9" s="1" t="s">
        <v>250</v>
      </c>
      <c r="B9" s="5">
        <v>3</v>
      </c>
      <c r="C9" s="2">
        <v>1001</v>
      </c>
      <c r="D9" s="2" t="s">
        <v>10</v>
      </c>
      <c r="E9" s="9">
        <v>1118</v>
      </c>
      <c r="F9" s="41"/>
      <c r="G9" s="14" t="s">
        <v>19</v>
      </c>
      <c r="H9" s="33" t="s">
        <v>14</v>
      </c>
      <c r="I9" s="34" t="s">
        <v>14</v>
      </c>
    </row>
    <row r="10" spans="1:9" s="1" customFormat="1" ht="24" customHeight="1" x14ac:dyDescent="0.25">
      <c r="A10" s="1" t="s">
        <v>250</v>
      </c>
      <c r="B10" s="5">
        <v>4</v>
      </c>
      <c r="C10" s="2" t="s">
        <v>236</v>
      </c>
      <c r="D10" s="2" t="s">
        <v>10</v>
      </c>
      <c r="E10" s="9" t="s">
        <v>237</v>
      </c>
      <c r="F10" s="41"/>
      <c r="G10" s="14" t="s">
        <v>19</v>
      </c>
      <c r="H10" s="33" t="s">
        <v>14</v>
      </c>
      <c r="I10" s="34" t="s">
        <v>14</v>
      </c>
    </row>
    <row r="11" spans="1:9" s="1" customFormat="1" ht="24" customHeight="1" x14ac:dyDescent="0.25">
      <c r="A11" s="1" t="s">
        <v>250</v>
      </c>
      <c r="B11" s="5">
        <v>5</v>
      </c>
      <c r="C11" s="2">
        <v>2001</v>
      </c>
      <c r="D11" s="2" t="s">
        <v>10</v>
      </c>
      <c r="E11" s="9">
        <v>2186</v>
      </c>
      <c r="F11" s="41"/>
      <c r="G11" s="14" t="s">
        <v>19</v>
      </c>
      <c r="H11" s="33" t="s">
        <v>14</v>
      </c>
      <c r="I11" s="34" t="s">
        <v>14</v>
      </c>
    </row>
    <row r="12" spans="1:9" s="1" customFormat="1" ht="24" customHeight="1" x14ac:dyDescent="0.25">
      <c r="A12" s="1" t="s">
        <v>250</v>
      </c>
      <c r="B12" s="5">
        <v>6</v>
      </c>
      <c r="C12" s="2" t="s">
        <v>238</v>
      </c>
      <c r="D12" s="2" t="s">
        <v>10</v>
      </c>
      <c r="E12" s="9" t="s">
        <v>239</v>
      </c>
      <c r="F12" s="41"/>
      <c r="G12" s="14" t="s">
        <v>19</v>
      </c>
      <c r="H12" s="33" t="s">
        <v>14</v>
      </c>
      <c r="I12" s="34" t="s">
        <v>14</v>
      </c>
    </row>
    <row r="13" spans="1:9" s="1" customFormat="1" ht="24" customHeight="1" x14ac:dyDescent="0.25">
      <c r="A13" s="1" t="s">
        <v>250</v>
      </c>
      <c r="B13" s="5">
        <v>7</v>
      </c>
      <c r="C13" s="132" t="s">
        <v>113</v>
      </c>
      <c r="D13" s="132" t="s">
        <v>10</v>
      </c>
      <c r="E13" s="133" t="s">
        <v>240</v>
      </c>
      <c r="F13" s="139"/>
      <c r="G13" s="134" t="s">
        <v>12</v>
      </c>
      <c r="H13" s="58" t="s">
        <v>14</v>
      </c>
      <c r="I13" s="119" t="s">
        <v>14</v>
      </c>
    </row>
    <row r="14" spans="1:9" s="1" customFormat="1" ht="24" customHeight="1" x14ac:dyDescent="0.2">
      <c r="A14" s="1" t="s">
        <v>250</v>
      </c>
      <c r="B14" s="5">
        <v>8</v>
      </c>
      <c r="C14" s="2" t="s">
        <v>241</v>
      </c>
      <c r="D14" s="2" t="s">
        <v>10</v>
      </c>
      <c r="E14" s="9" t="s">
        <v>242</v>
      </c>
      <c r="F14" s="62" t="s">
        <v>31</v>
      </c>
      <c r="G14" s="62" t="s">
        <v>32</v>
      </c>
      <c r="H14" s="33" t="s">
        <v>14</v>
      </c>
      <c r="I14" s="34" t="s">
        <v>14</v>
      </c>
    </row>
    <row r="15" spans="1:9" s="1" customFormat="1" ht="24" customHeight="1" x14ac:dyDescent="0.2">
      <c r="A15" s="1" t="s">
        <v>250</v>
      </c>
      <c r="B15" s="5">
        <v>9</v>
      </c>
      <c r="C15" s="2" t="s">
        <v>243</v>
      </c>
      <c r="D15" s="2" t="s">
        <v>10</v>
      </c>
      <c r="E15" s="9" t="s">
        <v>244</v>
      </c>
      <c r="F15" s="62" t="s">
        <v>112</v>
      </c>
      <c r="G15" s="62" t="s">
        <v>19</v>
      </c>
      <c r="H15" s="33" t="s">
        <v>14</v>
      </c>
      <c r="I15" s="34" t="s">
        <v>14</v>
      </c>
    </row>
    <row r="16" spans="1:9" s="1" customFormat="1" ht="24" customHeight="1" x14ac:dyDescent="0.2">
      <c r="A16" s="1" t="s">
        <v>250</v>
      </c>
      <c r="B16" s="5">
        <v>10</v>
      </c>
      <c r="C16" s="2" t="s">
        <v>245</v>
      </c>
      <c r="D16" s="2" t="s">
        <v>10</v>
      </c>
      <c r="E16" s="9" t="s">
        <v>246</v>
      </c>
      <c r="F16" s="62" t="s">
        <v>112</v>
      </c>
      <c r="G16" s="62" t="s">
        <v>19</v>
      </c>
      <c r="H16" s="33" t="s">
        <v>14</v>
      </c>
      <c r="I16" s="34" t="s">
        <v>14</v>
      </c>
    </row>
    <row r="17" spans="1:9" s="1" customFormat="1" ht="24" customHeight="1" x14ac:dyDescent="0.2">
      <c r="A17" s="1" t="s">
        <v>250</v>
      </c>
      <c r="B17" s="5">
        <v>11</v>
      </c>
      <c r="C17" s="2" t="s">
        <v>204</v>
      </c>
      <c r="D17" s="2" t="s">
        <v>10</v>
      </c>
      <c r="E17" s="9" t="s">
        <v>247</v>
      </c>
      <c r="F17" s="62" t="s">
        <v>112</v>
      </c>
      <c r="G17" s="62" t="s">
        <v>19</v>
      </c>
      <c r="H17" s="33" t="s">
        <v>14</v>
      </c>
      <c r="I17" s="34" t="s">
        <v>14</v>
      </c>
    </row>
    <row r="18" spans="1:9" s="1" customFormat="1" ht="24" customHeight="1" x14ac:dyDescent="0.25">
      <c r="B18" s="5"/>
      <c r="C18" s="2"/>
      <c r="D18" s="2"/>
      <c r="E18" s="9"/>
      <c r="F18" s="41"/>
      <c r="G18" s="14"/>
      <c r="H18" s="135"/>
      <c r="I18" s="136"/>
    </row>
    <row r="19" spans="1:9" s="1" customFormat="1" ht="24" customHeight="1" x14ac:dyDescent="0.25">
      <c r="B19" s="5"/>
      <c r="C19" s="2"/>
      <c r="D19" s="2"/>
      <c r="E19" s="9"/>
      <c r="F19" s="41"/>
      <c r="G19" s="14"/>
      <c r="H19" s="135"/>
      <c r="I19" s="136"/>
    </row>
    <row r="20" spans="1:9" s="1" customFormat="1" ht="24" customHeight="1" x14ac:dyDescent="0.25">
      <c r="B20" s="5"/>
      <c r="C20" s="2"/>
      <c r="D20" s="2"/>
      <c r="E20" s="9"/>
      <c r="F20" s="41"/>
      <c r="G20" s="14"/>
      <c r="H20" s="135"/>
      <c r="I20" s="136"/>
    </row>
    <row r="21" spans="1:9" s="1" customFormat="1" ht="24" customHeight="1" x14ac:dyDescent="0.25">
      <c r="B21" s="5"/>
      <c r="C21" s="2"/>
      <c r="D21" s="2"/>
      <c r="E21" s="9"/>
      <c r="F21" s="41"/>
      <c r="G21" s="14"/>
      <c r="H21" s="135"/>
      <c r="I21" s="136"/>
    </row>
    <row r="22" spans="1:9" s="1" customFormat="1" ht="24" customHeight="1" x14ac:dyDescent="0.25">
      <c r="B22" s="5"/>
      <c r="C22" s="2"/>
      <c r="D22" s="2"/>
      <c r="E22" s="9"/>
      <c r="F22" s="41"/>
      <c r="G22" s="14"/>
      <c r="H22" s="135"/>
      <c r="I22" s="136"/>
    </row>
    <row r="23" spans="1:9" s="1" customFormat="1" ht="15.75" thickBot="1" x14ac:dyDescent="0.3">
      <c r="B23" s="6"/>
      <c r="C23" s="7"/>
      <c r="D23" s="7"/>
      <c r="E23" s="10"/>
      <c r="F23" s="59"/>
      <c r="G23" s="15"/>
      <c r="H23" s="137"/>
      <c r="I23" s="138"/>
    </row>
  </sheetData>
  <mergeCells count="6">
    <mergeCell ref="B3:G3"/>
    <mergeCell ref="B5:B6"/>
    <mergeCell ref="C5:E6"/>
    <mergeCell ref="G5:G6"/>
    <mergeCell ref="A5:A6"/>
    <mergeCell ref="F5:F6"/>
  </mergeCells>
  <phoneticPr fontId="11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26A88-FC06-40B0-867C-D8859F6D04C1}">
  <dimension ref="A3:I22"/>
  <sheetViews>
    <sheetView workbookViewId="0">
      <selection activeCell="A7" sqref="A7:A8"/>
    </sheetView>
  </sheetViews>
  <sheetFormatPr defaultRowHeight="15" x14ac:dyDescent="0.25"/>
  <cols>
    <col min="2" max="2" width="12.28515625" customWidth="1"/>
    <col min="3" max="6" width="17" customWidth="1"/>
    <col min="7" max="7" width="19.5703125" customWidth="1"/>
    <col min="8" max="8" width="17.42578125" customWidth="1"/>
    <col min="9" max="9" width="13.42578125" customWidth="1"/>
  </cols>
  <sheetData>
    <row r="3" spans="1:9" ht="16.5" x14ac:dyDescent="0.25">
      <c r="B3" s="170" t="s">
        <v>248</v>
      </c>
      <c r="C3" s="170"/>
      <c r="D3" s="170"/>
      <c r="E3" s="170"/>
      <c r="F3" s="170"/>
      <c r="G3" s="170"/>
    </row>
    <row r="4" spans="1:9" ht="15.75" thickBot="1" x14ac:dyDescent="0.3"/>
    <row r="5" spans="1:9" s="1" customFormat="1" ht="15.75" thickBot="1" x14ac:dyDescent="0.3">
      <c r="A5" s="168" t="s">
        <v>0</v>
      </c>
      <c r="B5" s="168" t="s">
        <v>1</v>
      </c>
      <c r="C5" s="171" t="s">
        <v>2</v>
      </c>
      <c r="D5" s="172"/>
      <c r="E5" s="173"/>
      <c r="F5" s="177" t="s">
        <v>3</v>
      </c>
      <c r="G5" s="177" t="s">
        <v>4</v>
      </c>
      <c r="H5" s="11" t="s">
        <v>5</v>
      </c>
      <c r="I5" s="11" t="s">
        <v>6</v>
      </c>
    </row>
    <row r="6" spans="1:9" s="1" customFormat="1" ht="15.75" thickBot="1" x14ac:dyDescent="0.3">
      <c r="A6" s="169"/>
      <c r="B6" s="169"/>
      <c r="C6" s="174"/>
      <c r="D6" s="175"/>
      <c r="E6" s="176"/>
      <c r="F6" s="178"/>
      <c r="G6" s="178"/>
      <c r="H6" s="12" t="s">
        <v>7</v>
      </c>
      <c r="I6" s="12" t="s">
        <v>7</v>
      </c>
    </row>
    <row r="7" spans="1:9" s="1" customFormat="1" ht="24" customHeight="1" x14ac:dyDescent="0.25">
      <c r="A7" s="1" t="s">
        <v>249</v>
      </c>
      <c r="B7" s="3">
        <v>1</v>
      </c>
      <c r="C7" s="4">
        <v>3001</v>
      </c>
      <c r="D7" s="4" t="s">
        <v>10</v>
      </c>
      <c r="E7" s="8">
        <v>3220</v>
      </c>
      <c r="F7" s="40"/>
      <c r="G7" s="13" t="s">
        <v>19</v>
      </c>
      <c r="H7" s="29" t="s">
        <v>14</v>
      </c>
      <c r="I7" s="30" t="s">
        <v>14</v>
      </c>
    </row>
    <row r="8" spans="1:9" s="1" customFormat="1" ht="24" customHeight="1" x14ac:dyDescent="0.25">
      <c r="A8" s="1" t="s">
        <v>249</v>
      </c>
      <c r="B8" s="5">
        <v>2</v>
      </c>
      <c r="C8" s="2">
        <v>5001</v>
      </c>
      <c r="D8" s="2" t="s">
        <v>10</v>
      </c>
      <c r="E8" s="9">
        <v>5334</v>
      </c>
      <c r="F8" s="41"/>
      <c r="G8" s="14" t="s">
        <v>19</v>
      </c>
      <c r="H8" s="33" t="s">
        <v>14</v>
      </c>
      <c r="I8" s="34" t="s">
        <v>14</v>
      </c>
    </row>
    <row r="9" spans="1:9" s="1" customFormat="1" ht="24" customHeight="1" x14ac:dyDescent="0.25">
      <c r="B9" s="5"/>
      <c r="C9" s="2"/>
      <c r="D9" s="2"/>
      <c r="E9" s="9"/>
      <c r="F9" s="41"/>
      <c r="G9" s="14"/>
      <c r="H9" s="33"/>
      <c r="I9" s="34"/>
    </row>
    <row r="10" spans="1:9" s="1" customFormat="1" ht="24" customHeight="1" x14ac:dyDescent="0.25">
      <c r="B10" s="5"/>
      <c r="C10" s="2"/>
      <c r="D10" s="2"/>
      <c r="E10" s="9"/>
      <c r="F10" s="41"/>
      <c r="G10" s="14"/>
      <c r="H10" s="33"/>
      <c r="I10" s="34"/>
    </row>
    <row r="11" spans="1:9" s="1" customFormat="1" ht="24" customHeight="1" x14ac:dyDescent="0.25">
      <c r="B11" s="5"/>
      <c r="C11" s="2"/>
      <c r="D11" s="2"/>
      <c r="E11" s="9"/>
      <c r="F11" s="41"/>
      <c r="G11" s="14"/>
      <c r="H11" s="33"/>
      <c r="I11" s="34"/>
    </row>
    <row r="12" spans="1:9" s="1" customFormat="1" ht="24" customHeight="1" x14ac:dyDescent="0.25">
      <c r="B12" s="5"/>
      <c r="C12" s="2"/>
      <c r="D12" s="2"/>
      <c r="E12" s="9"/>
      <c r="F12" s="41"/>
      <c r="G12" s="14"/>
      <c r="H12" s="33"/>
      <c r="I12" s="34"/>
    </row>
    <row r="13" spans="1:9" s="1" customFormat="1" ht="24" customHeight="1" x14ac:dyDescent="0.25">
      <c r="B13" s="5"/>
      <c r="C13" s="2"/>
      <c r="D13" s="2"/>
      <c r="E13" s="9"/>
      <c r="F13" s="41"/>
      <c r="G13" s="14"/>
      <c r="H13" s="33"/>
      <c r="I13" s="34"/>
    </row>
    <row r="14" spans="1:9" s="1" customFormat="1" ht="24" customHeight="1" x14ac:dyDescent="0.25">
      <c r="B14" s="5"/>
      <c r="C14" s="2"/>
      <c r="D14" s="2"/>
      <c r="E14" s="9"/>
      <c r="F14" s="41"/>
      <c r="G14" s="14"/>
      <c r="H14" s="33"/>
      <c r="I14" s="34"/>
    </row>
    <row r="15" spans="1:9" s="1" customFormat="1" ht="24" customHeight="1" x14ac:dyDescent="0.25">
      <c r="B15" s="5"/>
      <c r="C15" s="2"/>
      <c r="D15" s="2"/>
      <c r="E15" s="9"/>
      <c r="F15" s="41"/>
      <c r="G15" s="14"/>
      <c r="H15" s="33"/>
      <c r="I15" s="34"/>
    </row>
    <row r="16" spans="1:9" s="1" customFormat="1" ht="24" customHeight="1" x14ac:dyDescent="0.25">
      <c r="B16" s="5"/>
      <c r="C16" s="2"/>
      <c r="D16" s="2"/>
      <c r="E16" s="9"/>
      <c r="F16" s="41"/>
      <c r="G16" s="14"/>
      <c r="H16" s="33"/>
      <c r="I16" s="34"/>
    </row>
    <row r="17" spans="2:9" s="1" customFormat="1" ht="24" customHeight="1" x14ac:dyDescent="0.25">
      <c r="B17" s="5"/>
      <c r="C17" s="2"/>
      <c r="D17" s="2"/>
      <c r="E17" s="9"/>
      <c r="F17" s="41"/>
      <c r="G17" s="14"/>
      <c r="H17" s="135"/>
      <c r="I17" s="136"/>
    </row>
    <row r="18" spans="2:9" s="1" customFormat="1" ht="24" customHeight="1" x14ac:dyDescent="0.25">
      <c r="B18" s="5"/>
      <c r="C18" s="2"/>
      <c r="D18" s="2"/>
      <c r="E18" s="9"/>
      <c r="F18" s="41"/>
      <c r="G18" s="14"/>
      <c r="H18" s="135"/>
      <c r="I18" s="136"/>
    </row>
    <row r="19" spans="2:9" s="1" customFormat="1" ht="24" customHeight="1" x14ac:dyDescent="0.25">
      <c r="B19" s="5"/>
      <c r="C19" s="2"/>
      <c r="D19" s="2"/>
      <c r="E19" s="9"/>
      <c r="F19" s="41"/>
      <c r="G19" s="14"/>
      <c r="H19" s="135"/>
      <c r="I19" s="136"/>
    </row>
    <row r="20" spans="2:9" s="1" customFormat="1" ht="24" customHeight="1" x14ac:dyDescent="0.25">
      <c r="B20" s="5"/>
      <c r="C20" s="2"/>
      <c r="D20" s="2"/>
      <c r="E20" s="9"/>
      <c r="F20" s="41"/>
      <c r="G20" s="14"/>
      <c r="H20" s="135"/>
      <c r="I20" s="136"/>
    </row>
    <row r="21" spans="2:9" s="1" customFormat="1" ht="24" customHeight="1" x14ac:dyDescent="0.25">
      <c r="B21" s="5"/>
      <c r="C21" s="2"/>
      <c r="D21" s="2"/>
      <c r="E21" s="9"/>
      <c r="F21" s="41"/>
      <c r="G21" s="14"/>
      <c r="H21" s="135"/>
      <c r="I21" s="136"/>
    </row>
    <row r="22" spans="2:9" s="1" customFormat="1" ht="15.75" thickBot="1" x14ac:dyDescent="0.3">
      <c r="B22" s="6"/>
      <c r="C22" s="7"/>
      <c r="D22" s="7"/>
      <c r="E22" s="10"/>
      <c r="F22" s="59"/>
      <c r="G22" s="15"/>
      <c r="H22" s="137"/>
      <c r="I22" s="138"/>
    </row>
  </sheetData>
  <mergeCells count="6">
    <mergeCell ref="B3:G3"/>
    <mergeCell ref="B5:B6"/>
    <mergeCell ref="C5:E6"/>
    <mergeCell ref="G5:G6"/>
    <mergeCell ref="A5:A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Claude Log</vt:lpstr>
      <vt:lpstr>SiteConfig</vt:lpstr>
      <vt:lpstr>Master</vt:lpstr>
      <vt:lpstr>WDL</vt:lpstr>
      <vt:lpstr>TPY</vt:lpstr>
      <vt:lpstr>BKR</vt:lpstr>
      <vt:lpstr>CW</vt:lpstr>
      <vt:lpstr>HV</vt:lpstr>
      <vt:lpstr>IMM</vt:lpstr>
      <vt:lpstr>WC</vt:lpstr>
      <vt:lpstr>ELK</vt:lpstr>
      <vt:lpstr>AMK</vt:lpstr>
      <vt:lpstr>MMR</vt:lpstr>
      <vt:lpstr>TS</vt:lpstr>
      <vt:lpstr>KWY</vt:lpstr>
      <vt:lpstr>YJ</vt:lpstr>
      <vt:lpstr>BD</vt:lpstr>
      <vt:lpstr>AGJ</vt:lpstr>
      <vt:lpstr>GS</vt:lpstr>
      <vt:lpstr>YDP</vt:lpstr>
      <vt:lpstr>YS</vt:lpstr>
      <vt:lpstr>BP</vt:lpstr>
      <vt:lpstr>CSL</vt:lpstr>
      <vt:lpstr>SEG</vt:lpstr>
      <vt:lpstr>S51</vt:lpstr>
      <vt:lpstr>KD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User</dc:creator>
  <cp:keywords/>
  <dc:description/>
  <cp:lastModifiedBy>Louis Ver</cp:lastModifiedBy>
  <cp:revision/>
  <dcterms:created xsi:type="dcterms:W3CDTF">2022-03-15T03:20:39Z</dcterms:created>
  <dcterms:modified xsi:type="dcterms:W3CDTF">2026-02-26T09:17:29Z</dcterms:modified>
  <cp:category/>
  <cp:contentStatus/>
</cp:coreProperties>
</file>